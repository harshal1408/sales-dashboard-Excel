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0.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https://d.docs.live.net/f335ffa4d42d2ccd/Documents/"/>
    </mc:Choice>
  </mc:AlternateContent>
  <xr:revisionPtr revIDLastSave="2782" documentId="8_{7AD96F8C-B3FC-47A9-9C65-DC3566E703CD}" xr6:coauthVersionLast="47" xr6:coauthVersionMax="47" xr10:uidLastSave="{530DED27-E9A0-4B75-9945-EFEA753E666E}"/>
  <bookViews>
    <workbookView xWindow="-108" yWindow="-108" windowWidth="23256" windowHeight="12456" firstSheet="6" activeTab="10" xr2:uid="{D706DA79-F0A7-4D24-B944-2AF0A92162BE}"/>
  </bookViews>
  <sheets>
    <sheet name="Sales by months" sheetId="4" r:id="rId1"/>
    <sheet name="Sales by Region" sheetId="5" r:id="rId2"/>
    <sheet name="Sales by Sales rep" sheetId="6" r:id="rId3"/>
    <sheet name="Sales by prod cat" sheetId="20" r:id="rId4"/>
    <sheet name="channel performance" sheetId="8" r:id="rId5"/>
    <sheet name="payment method" sheetId="9" r:id="rId6"/>
    <sheet name="Total Quantity Sold" sheetId="15" r:id="rId7"/>
    <sheet name="Profit margin" sheetId="16" r:id="rId8"/>
    <sheet name="sales_data (1)" sheetId="2" r:id="rId9"/>
    <sheet name="Categorywise Sales" sheetId="10" r:id="rId10"/>
    <sheet name="Dashboard" sheetId="3" r:id="rId11"/>
  </sheets>
  <definedNames>
    <definedName name="ExternalData_1" localSheetId="8" hidden="1">'sales_data (1)'!$A$1:$M$998</definedName>
    <definedName name="sales_data">sales_data_1[]</definedName>
    <definedName name="Slicer_Months__Sale_Date">#N/A</definedName>
    <definedName name="Slicer_Regio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2" l="1"/>
  <c r="P2" i="2" s="1"/>
  <c r="N3" i="2"/>
  <c r="N4" i="2"/>
  <c r="N5" i="2"/>
  <c r="N6" i="2"/>
  <c r="N7" i="2"/>
  <c r="N8" i="2"/>
  <c r="P8" i="2" s="1"/>
  <c r="N9" i="2"/>
  <c r="N10" i="2"/>
  <c r="N11" i="2"/>
  <c r="N12" i="2"/>
  <c r="P12" i="2" s="1"/>
  <c r="N13" i="2"/>
  <c r="P13" i="2" s="1"/>
  <c r="N14" i="2"/>
  <c r="N15" i="2"/>
  <c r="N16" i="2"/>
  <c r="N17" i="2"/>
  <c r="P17" i="2" s="1"/>
  <c r="N18" i="2"/>
  <c r="N19" i="2"/>
  <c r="P19" i="2" s="1"/>
  <c r="N20" i="2"/>
  <c r="P20" i="2" s="1"/>
  <c r="N21" i="2"/>
  <c r="P21" i="2" s="1"/>
  <c r="N22" i="2"/>
  <c r="P22" i="2" s="1"/>
  <c r="N23" i="2"/>
  <c r="P23" i="2" s="1"/>
  <c r="N24" i="2"/>
  <c r="P24" i="2" s="1"/>
  <c r="N25" i="2"/>
  <c r="P25" i="2" s="1"/>
  <c r="N26" i="2"/>
  <c r="N27" i="2"/>
  <c r="N28" i="2"/>
  <c r="N29" i="2"/>
  <c r="N30" i="2"/>
  <c r="N31" i="2"/>
  <c r="N32" i="2"/>
  <c r="P32" i="2" s="1"/>
  <c r="N33" i="2"/>
  <c r="P33" i="2" s="1"/>
  <c r="N34" i="2"/>
  <c r="P34" i="2" s="1"/>
  <c r="N35" i="2"/>
  <c r="P35" i="2" s="1"/>
  <c r="N36" i="2"/>
  <c r="P36" i="2" s="1"/>
  <c r="N37" i="2"/>
  <c r="P37" i="2" s="1"/>
  <c r="N38" i="2"/>
  <c r="N39" i="2"/>
  <c r="N40" i="2"/>
  <c r="N41" i="2"/>
  <c r="N42" i="2"/>
  <c r="N43" i="2"/>
  <c r="N44" i="2"/>
  <c r="P44" i="2" s="1"/>
  <c r="N45" i="2"/>
  <c r="P45" i="2" s="1"/>
  <c r="N46" i="2"/>
  <c r="P46" i="2" s="1"/>
  <c r="N47" i="2"/>
  <c r="P47" i="2" s="1"/>
  <c r="N48" i="2"/>
  <c r="P48" i="2" s="1"/>
  <c r="N49" i="2"/>
  <c r="P49" i="2" s="1"/>
  <c r="N50" i="2"/>
  <c r="P50" i="2" s="1"/>
  <c r="N51" i="2"/>
  <c r="N52" i="2"/>
  <c r="N53" i="2"/>
  <c r="N54" i="2"/>
  <c r="N55" i="2"/>
  <c r="N56" i="2"/>
  <c r="P56" i="2" s="1"/>
  <c r="N57" i="2"/>
  <c r="P57" i="2" s="1"/>
  <c r="N58" i="2"/>
  <c r="P58" i="2" s="1"/>
  <c r="N59" i="2"/>
  <c r="P59" i="2" s="1"/>
  <c r="N60" i="2"/>
  <c r="P60" i="2" s="1"/>
  <c r="N61" i="2"/>
  <c r="P61" i="2" s="1"/>
  <c r="N62" i="2"/>
  <c r="N63" i="2"/>
  <c r="N64" i="2"/>
  <c r="N65" i="2"/>
  <c r="P65" i="2" s="1"/>
  <c r="N66" i="2"/>
  <c r="N67" i="2"/>
  <c r="P67" i="2" s="1"/>
  <c r="N68" i="2"/>
  <c r="P68" i="2" s="1"/>
  <c r="N69" i="2"/>
  <c r="P69" i="2" s="1"/>
  <c r="N70" i="2"/>
  <c r="P70" i="2" s="1"/>
  <c r="N71" i="2"/>
  <c r="P71" i="2" s="1"/>
  <c r="N72" i="2"/>
  <c r="P72" i="2" s="1"/>
  <c r="N73" i="2"/>
  <c r="P73" i="2" s="1"/>
  <c r="N74" i="2"/>
  <c r="N75" i="2"/>
  <c r="N76" i="2"/>
  <c r="N77" i="2"/>
  <c r="N78" i="2"/>
  <c r="N79" i="2"/>
  <c r="N80" i="2"/>
  <c r="P80" i="2" s="1"/>
  <c r="N81" i="2"/>
  <c r="P81" i="2" s="1"/>
  <c r="N82" i="2"/>
  <c r="P82" i="2" s="1"/>
  <c r="N83" i="2"/>
  <c r="P83" i="2" s="1"/>
  <c r="N84" i="2"/>
  <c r="P84" i="2" s="1"/>
  <c r="N85" i="2"/>
  <c r="P85" i="2" s="1"/>
  <c r="N86" i="2"/>
  <c r="N87" i="2"/>
  <c r="N88" i="2"/>
  <c r="N89" i="2"/>
  <c r="N90" i="2"/>
  <c r="N91" i="2"/>
  <c r="N92" i="2"/>
  <c r="P92" i="2" s="1"/>
  <c r="N93" i="2"/>
  <c r="N94" i="2"/>
  <c r="N95" i="2"/>
  <c r="P95" i="2" s="1"/>
  <c r="N96" i="2"/>
  <c r="P96" i="2" s="1"/>
  <c r="N97" i="2"/>
  <c r="P97" i="2" s="1"/>
  <c r="N98" i="2"/>
  <c r="P98" i="2" s="1"/>
  <c r="N99" i="2"/>
  <c r="N100" i="2"/>
  <c r="N101" i="2"/>
  <c r="N102" i="2"/>
  <c r="N103" i="2"/>
  <c r="N104" i="2"/>
  <c r="P104" i="2" s="1"/>
  <c r="N105" i="2"/>
  <c r="P105" i="2" s="1"/>
  <c r="N106" i="2"/>
  <c r="P106" i="2" s="1"/>
  <c r="N107" i="2"/>
  <c r="P107" i="2" s="1"/>
  <c r="N108" i="2"/>
  <c r="P108" i="2" s="1"/>
  <c r="N109" i="2"/>
  <c r="P109" i="2" s="1"/>
  <c r="N110" i="2"/>
  <c r="N111" i="2"/>
  <c r="N112" i="2"/>
  <c r="N113" i="2"/>
  <c r="P113" i="2" s="1"/>
  <c r="N114" i="2"/>
  <c r="N115" i="2"/>
  <c r="P115" i="2" s="1"/>
  <c r="N116" i="2"/>
  <c r="P116" i="2" s="1"/>
  <c r="N117" i="2"/>
  <c r="P117" i="2" s="1"/>
  <c r="N118" i="2"/>
  <c r="P118" i="2" s="1"/>
  <c r="N119" i="2"/>
  <c r="P119" i="2" s="1"/>
  <c r="N120" i="2"/>
  <c r="P120" i="2" s="1"/>
  <c r="N121" i="2"/>
  <c r="P121" i="2" s="1"/>
  <c r="N122" i="2"/>
  <c r="N123" i="2"/>
  <c r="N124" i="2"/>
  <c r="N125" i="2"/>
  <c r="N126" i="2"/>
  <c r="N127" i="2"/>
  <c r="N128" i="2"/>
  <c r="P128" i="2" s="1"/>
  <c r="N129" i="2"/>
  <c r="P129" i="2" s="1"/>
  <c r="N130" i="2"/>
  <c r="P130" i="2" s="1"/>
  <c r="N131" i="2"/>
  <c r="P131" i="2" s="1"/>
  <c r="N132" i="2"/>
  <c r="P132" i="2" s="1"/>
  <c r="N133" i="2"/>
  <c r="P133" i="2" s="1"/>
  <c r="N134" i="2"/>
  <c r="N135" i="2"/>
  <c r="N136" i="2"/>
  <c r="N137" i="2"/>
  <c r="N138" i="2"/>
  <c r="N139" i="2"/>
  <c r="N140" i="2"/>
  <c r="P140" i="2" s="1"/>
  <c r="N141" i="2"/>
  <c r="P141" i="2" s="1"/>
  <c r="N142" i="2"/>
  <c r="P142" i="2" s="1"/>
  <c r="N143" i="2"/>
  <c r="P143" i="2" s="1"/>
  <c r="N144" i="2"/>
  <c r="P144" i="2" s="1"/>
  <c r="N145" i="2"/>
  <c r="P145" i="2" s="1"/>
  <c r="N146" i="2"/>
  <c r="P146" i="2" s="1"/>
  <c r="N147" i="2"/>
  <c r="N148" i="2"/>
  <c r="N149" i="2"/>
  <c r="N150" i="2"/>
  <c r="N151" i="2"/>
  <c r="N152" i="2"/>
  <c r="P152" i="2" s="1"/>
  <c r="N153" i="2"/>
  <c r="N154" i="2"/>
  <c r="N155" i="2"/>
  <c r="P155" i="2" s="1"/>
  <c r="N156" i="2"/>
  <c r="P156" i="2" s="1"/>
  <c r="N157" i="2"/>
  <c r="P157" i="2" s="1"/>
  <c r="N158" i="2"/>
  <c r="N159" i="2"/>
  <c r="N160" i="2"/>
  <c r="N161" i="2"/>
  <c r="P161" i="2" s="1"/>
  <c r="N162" i="2"/>
  <c r="N163" i="2"/>
  <c r="P163" i="2" s="1"/>
  <c r="N164" i="2"/>
  <c r="P164" i="2" s="1"/>
  <c r="N165" i="2"/>
  <c r="P165" i="2" s="1"/>
  <c r="N166" i="2"/>
  <c r="P166" i="2" s="1"/>
  <c r="N167" i="2"/>
  <c r="P167" i="2" s="1"/>
  <c r="N168" i="2"/>
  <c r="P168" i="2" s="1"/>
  <c r="N169" i="2"/>
  <c r="P169" i="2" s="1"/>
  <c r="N170" i="2"/>
  <c r="N171" i="2"/>
  <c r="N172" i="2"/>
  <c r="N173" i="2"/>
  <c r="N174" i="2"/>
  <c r="N175" i="2"/>
  <c r="N176" i="2"/>
  <c r="P176" i="2" s="1"/>
  <c r="N177" i="2"/>
  <c r="P177" i="2" s="1"/>
  <c r="N178" i="2"/>
  <c r="P178" i="2" s="1"/>
  <c r="N179" i="2"/>
  <c r="P179" i="2" s="1"/>
  <c r="N180" i="2"/>
  <c r="P180" i="2" s="1"/>
  <c r="N181" i="2"/>
  <c r="P181" i="2" s="1"/>
  <c r="N182" i="2"/>
  <c r="N183" i="2"/>
  <c r="N184" i="2"/>
  <c r="N185" i="2"/>
  <c r="N186" i="2"/>
  <c r="N187" i="2"/>
  <c r="N188" i="2"/>
  <c r="P188" i="2" s="1"/>
  <c r="N189" i="2"/>
  <c r="N190" i="2"/>
  <c r="N191" i="2"/>
  <c r="N192" i="2"/>
  <c r="P192" i="2" s="1"/>
  <c r="N193" i="2"/>
  <c r="P193" i="2" s="1"/>
  <c r="N194" i="2"/>
  <c r="P194" i="2" s="1"/>
  <c r="N195" i="2"/>
  <c r="N196" i="2"/>
  <c r="N197" i="2"/>
  <c r="N198" i="2"/>
  <c r="N199" i="2"/>
  <c r="N200" i="2"/>
  <c r="P200" i="2" s="1"/>
  <c r="N201" i="2"/>
  <c r="P201" i="2" s="1"/>
  <c r="N202" i="2"/>
  <c r="P202" i="2" s="1"/>
  <c r="N203" i="2"/>
  <c r="P203" i="2" s="1"/>
  <c r="N204" i="2"/>
  <c r="P204" i="2" s="1"/>
  <c r="N205" i="2"/>
  <c r="P205" i="2" s="1"/>
  <c r="N206" i="2"/>
  <c r="N207" i="2"/>
  <c r="N208" i="2"/>
  <c r="N209" i="2"/>
  <c r="P209" i="2" s="1"/>
  <c r="N210" i="2"/>
  <c r="N211" i="2"/>
  <c r="P211" i="2" s="1"/>
  <c r="N212" i="2"/>
  <c r="P212" i="2" s="1"/>
  <c r="N213" i="2"/>
  <c r="P213" i="2" s="1"/>
  <c r="N214" i="2"/>
  <c r="N215" i="2"/>
  <c r="P215" i="2" s="1"/>
  <c r="N216" i="2"/>
  <c r="P216" i="2" s="1"/>
  <c r="N217" i="2"/>
  <c r="P217" i="2" s="1"/>
  <c r="N218" i="2"/>
  <c r="N219" i="2"/>
  <c r="N220" i="2"/>
  <c r="N221" i="2"/>
  <c r="N222" i="2"/>
  <c r="N223" i="2"/>
  <c r="N224" i="2"/>
  <c r="P224" i="2" s="1"/>
  <c r="N225" i="2"/>
  <c r="P225" i="2" s="1"/>
  <c r="N226" i="2"/>
  <c r="P226" i="2" s="1"/>
  <c r="N227" i="2"/>
  <c r="P227" i="2" s="1"/>
  <c r="N228" i="2"/>
  <c r="P228" i="2" s="1"/>
  <c r="N229" i="2"/>
  <c r="P229" i="2" s="1"/>
  <c r="N230" i="2"/>
  <c r="N231" i="2"/>
  <c r="N232" i="2"/>
  <c r="N233" i="2"/>
  <c r="N234" i="2"/>
  <c r="N235" i="2"/>
  <c r="N236" i="2"/>
  <c r="P236" i="2" s="1"/>
  <c r="N237" i="2"/>
  <c r="P237" i="2" s="1"/>
  <c r="N238" i="2"/>
  <c r="P238" i="2" s="1"/>
  <c r="N239" i="2"/>
  <c r="P239" i="2" s="1"/>
  <c r="N240" i="2"/>
  <c r="P240" i="2" s="1"/>
  <c r="N241" i="2"/>
  <c r="P241" i="2" s="1"/>
  <c r="N242" i="2"/>
  <c r="P242" i="2" s="1"/>
  <c r="N243" i="2"/>
  <c r="N244" i="2"/>
  <c r="N245" i="2"/>
  <c r="N246" i="2"/>
  <c r="N247" i="2"/>
  <c r="N248" i="2"/>
  <c r="P248" i="2" s="1"/>
  <c r="N249" i="2"/>
  <c r="N250" i="2"/>
  <c r="N251" i="2"/>
  <c r="N252" i="2"/>
  <c r="P252" i="2" s="1"/>
  <c r="N253" i="2"/>
  <c r="P253" i="2" s="1"/>
  <c r="N254" i="2"/>
  <c r="N255" i="2"/>
  <c r="N256" i="2"/>
  <c r="N257" i="2"/>
  <c r="P257" i="2" s="1"/>
  <c r="N258" i="2"/>
  <c r="N259" i="2"/>
  <c r="P259" i="2" s="1"/>
  <c r="N260" i="2"/>
  <c r="P260" i="2" s="1"/>
  <c r="N261" i="2"/>
  <c r="P261" i="2" s="1"/>
  <c r="N262" i="2"/>
  <c r="P262" i="2" s="1"/>
  <c r="N263" i="2"/>
  <c r="P263" i="2" s="1"/>
  <c r="N264" i="2"/>
  <c r="P264" i="2" s="1"/>
  <c r="N265" i="2"/>
  <c r="P265" i="2" s="1"/>
  <c r="N266" i="2"/>
  <c r="N267" i="2"/>
  <c r="N268" i="2"/>
  <c r="N269" i="2"/>
  <c r="N270" i="2"/>
  <c r="N271" i="2"/>
  <c r="N272" i="2"/>
  <c r="P272" i="2" s="1"/>
  <c r="N273" i="2"/>
  <c r="P273" i="2" s="1"/>
  <c r="N274" i="2"/>
  <c r="P274" i="2" s="1"/>
  <c r="N275" i="2"/>
  <c r="P275" i="2" s="1"/>
  <c r="N276" i="2"/>
  <c r="P276" i="2" s="1"/>
  <c r="N277" i="2"/>
  <c r="P277" i="2" s="1"/>
  <c r="N278" i="2"/>
  <c r="N279" i="2"/>
  <c r="N280" i="2"/>
  <c r="N281" i="2"/>
  <c r="N282" i="2"/>
  <c r="N283" i="2"/>
  <c r="N284" i="2"/>
  <c r="P284" i="2" s="1"/>
  <c r="N285" i="2"/>
  <c r="P285" i="2" s="1"/>
  <c r="N286" i="2"/>
  <c r="P286" i="2" s="1"/>
  <c r="N287" i="2"/>
  <c r="P287" i="2" s="1"/>
  <c r="N288" i="2"/>
  <c r="P288" i="2" s="1"/>
  <c r="N289" i="2"/>
  <c r="P289" i="2" s="1"/>
  <c r="N290" i="2"/>
  <c r="P290" i="2" s="1"/>
  <c r="N291" i="2"/>
  <c r="N292" i="2"/>
  <c r="N293" i="2"/>
  <c r="N294" i="2"/>
  <c r="N295" i="2"/>
  <c r="N296" i="2"/>
  <c r="P296" i="2" s="1"/>
  <c r="N297" i="2"/>
  <c r="P297" i="2" s="1"/>
  <c r="N298" i="2"/>
  <c r="P298" i="2" s="1"/>
  <c r="N299" i="2"/>
  <c r="P299" i="2" s="1"/>
  <c r="N300" i="2"/>
  <c r="P300" i="2" s="1"/>
  <c r="N301" i="2"/>
  <c r="P301" i="2" s="1"/>
  <c r="N302" i="2"/>
  <c r="N303" i="2"/>
  <c r="N304" i="2"/>
  <c r="N305" i="2"/>
  <c r="P305" i="2" s="1"/>
  <c r="N306" i="2"/>
  <c r="N307" i="2"/>
  <c r="P307" i="2" s="1"/>
  <c r="N308" i="2"/>
  <c r="P308" i="2" s="1"/>
  <c r="N309" i="2"/>
  <c r="P309" i="2" s="1"/>
  <c r="N310" i="2"/>
  <c r="N311" i="2"/>
  <c r="N312" i="2"/>
  <c r="P312" i="2" s="1"/>
  <c r="N313" i="2"/>
  <c r="P313" i="2" s="1"/>
  <c r="N314" i="2"/>
  <c r="N315" i="2"/>
  <c r="N316" i="2"/>
  <c r="N317" i="2"/>
  <c r="N318" i="2"/>
  <c r="N319" i="2"/>
  <c r="N320" i="2"/>
  <c r="P320" i="2" s="1"/>
  <c r="N321" i="2"/>
  <c r="P321" i="2" s="1"/>
  <c r="N322" i="2"/>
  <c r="P322" i="2" s="1"/>
  <c r="N323" i="2"/>
  <c r="P323" i="2" s="1"/>
  <c r="N324" i="2"/>
  <c r="P324" i="2" s="1"/>
  <c r="N325" i="2"/>
  <c r="P325" i="2" s="1"/>
  <c r="N326" i="2"/>
  <c r="N327" i="2"/>
  <c r="N328" i="2"/>
  <c r="N329" i="2"/>
  <c r="N330" i="2"/>
  <c r="N331" i="2"/>
  <c r="N332" i="2"/>
  <c r="P332" i="2" s="1"/>
  <c r="N333" i="2"/>
  <c r="N334" i="2"/>
  <c r="N335" i="2"/>
  <c r="P335" i="2" s="1"/>
  <c r="N336" i="2"/>
  <c r="P336" i="2" s="1"/>
  <c r="N337" i="2"/>
  <c r="P337" i="2" s="1"/>
  <c r="N338" i="2"/>
  <c r="P338" i="2" s="1"/>
  <c r="N339" i="2"/>
  <c r="N340" i="2"/>
  <c r="N341" i="2"/>
  <c r="N342" i="2"/>
  <c r="N343" i="2"/>
  <c r="N344" i="2"/>
  <c r="P344" i="2" s="1"/>
  <c r="N345" i="2"/>
  <c r="P345" i="2" s="1"/>
  <c r="N346" i="2"/>
  <c r="P346" i="2" s="1"/>
  <c r="N347" i="2"/>
  <c r="P347" i="2" s="1"/>
  <c r="N348" i="2"/>
  <c r="P348" i="2" s="1"/>
  <c r="N349" i="2"/>
  <c r="P349" i="2" s="1"/>
  <c r="N350" i="2"/>
  <c r="N351" i="2"/>
  <c r="N352" i="2"/>
  <c r="N353" i="2"/>
  <c r="P353" i="2" s="1"/>
  <c r="N354" i="2"/>
  <c r="N355" i="2"/>
  <c r="P355" i="2" s="1"/>
  <c r="N356" i="2"/>
  <c r="P356" i="2" s="1"/>
  <c r="N357" i="2"/>
  <c r="P357" i="2" s="1"/>
  <c r="N358" i="2"/>
  <c r="P358" i="2" s="1"/>
  <c r="N359" i="2"/>
  <c r="P359" i="2" s="1"/>
  <c r="N360" i="2"/>
  <c r="P360" i="2" s="1"/>
  <c r="N361" i="2"/>
  <c r="P361" i="2" s="1"/>
  <c r="N362" i="2"/>
  <c r="N363" i="2"/>
  <c r="N364" i="2"/>
  <c r="N365" i="2"/>
  <c r="N366" i="2"/>
  <c r="N367" i="2"/>
  <c r="N368" i="2"/>
  <c r="P368" i="2" s="1"/>
  <c r="N369" i="2"/>
  <c r="P369" i="2" s="1"/>
  <c r="N370" i="2"/>
  <c r="P370" i="2" s="1"/>
  <c r="N371" i="2"/>
  <c r="P371" i="2" s="1"/>
  <c r="N372" i="2"/>
  <c r="P372" i="2" s="1"/>
  <c r="N373" i="2"/>
  <c r="P373" i="2" s="1"/>
  <c r="N374" i="2"/>
  <c r="N375" i="2"/>
  <c r="N376" i="2"/>
  <c r="N377" i="2"/>
  <c r="N378" i="2"/>
  <c r="N379" i="2"/>
  <c r="N380" i="2"/>
  <c r="P380" i="2" s="1"/>
  <c r="N381" i="2"/>
  <c r="P381" i="2" s="1"/>
  <c r="N382" i="2"/>
  <c r="P382" i="2" s="1"/>
  <c r="N383" i="2"/>
  <c r="P383" i="2" s="1"/>
  <c r="N384" i="2"/>
  <c r="P384" i="2" s="1"/>
  <c r="N385" i="2"/>
  <c r="P385" i="2" s="1"/>
  <c r="N386" i="2"/>
  <c r="P386" i="2" s="1"/>
  <c r="N387" i="2"/>
  <c r="N388" i="2"/>
  <c r="N389" i="2"/>
  <c r="N390" i="2"/>
  <c r="N391" i="2"/>
  <c r="N392" i="2"/>
  <c r="P392" i="2" s="1"/>
  <c r="N393" i="2"/>
  <c r="N394" i="2"/>
  <c r="P394" i="2" s="1"/>
  <c r="N395" i="2"/>
  <c r="P395" i="2" s="1"/>
  <c r="N396" i="2"/>
  <c r="P396" i="2" s="1"/>
  <c r="N397" i="2"/>
  <c r="P397" i="2" s="1"/>
  <c r="N398" i="2"/>
  <c r="N399" i="2"/>
  <c r="N400" i="2"/>
  <c r="N401" i="2"/>
  <c r="P401" i="2" s="1"/>
  <c r="N402" i="2"/>
  <c r="N403" i="2"/>
  <c r="P403" i="2" s="1"/>
  <c r="N404" i="2"/>
  <c r="P404" i="2" s="1"/>
  <c r="N405" i="2"/>
  <c r="P405" i="2" s="1"/>
  <c r="N406" i="2"/>
  <c r="P406" i="2" s="1"/>
  <c r="N407" i="2"/>
  <c r="P407" i="2" s="1"/>
  <c r="N408" i="2"/>
  <c r="P408" i="2" s="1"/>
  <c r="N409" i="2"/>
  <c r="P409" i="2" s="1"/>
  <c r="N410" i="2"/>
  <c r="N411" i="2"/>
  <c r="N412" i="2"/>
  <c r="N413" i="2"/>
  <c r="N414" i="2"/>
  <c r="N415" i="2"/>
  <c r="N416" i="2"/>
  <c r="P416" i="2" s="1"/>
  <c r="N417" i="2"/>
  <c r="P417" i="2" s="1"/>
  <c r="N418" i="2"/>
  <c r="P418" i="2" s="1"/>
  <c r="N419" i="2"/>
  <c r="P419" i="2" s="1"/>
  <c r="N420" i="2"/>
  <c r="P420" i="2" s="1"/>
  <c r="N421" i="2"/>
  <c r="P421" i="2" s="1"/>
  <c r="N422" i="2"/>
  <c r="N423" i="2"/>
  <c r="N424" i="2"/>
  <c r="N425" i="2"/>
  <c r="N426" i="2"/>
  <c r="N427" i="2"/>
  <c r="N428" i="2"/>
  <c r="P428" i="2" s="1"/>
  <c r="N429" i="2"/>
  <c r="N430" i="2"/>
  <c r="N431" i="2"/>
  <c r="N432" i="2"/>
  <c r="P432" i="2" s="1"/>
  <c r="N433" i="2"/>
  <c r="P433" i="2" s="1"/>
  <c r="N434" i="2"/>
  <c r="P434" i="2" s="1"/>
  <c r="N435" i="2"/>
  <c r="N436" i="2"/>
  <c r="N437" i="2"/>
  <c r="N438" i="2"/>
  <c r="N439" i="2"/>
  <c r="N440" i="2"/>
  <c r="P440" i="2" s="1"/>
  <c r="N441" i="2"/>
  <c r="P441" i="2" s="1"/>
  <c r="N442" i="2"/>
  <c r="P442" i="2" s="1"/>
  <c r="N443" i="2"/>
  <c r="P443" i="2" s="1"/>
  <c r="N444" i="2"/>
  <c r="P444" i="2" s="1"/>
  <c r="N445" i="2"/>
  <c r="P445" i="2" s="1"/>
  <c r="N446" i="2"/>
  <c r="N447" i="2"/>
  <c r="N448" i="2"/>
  <c r="N449" i="2"/>
  <c r="P449" i="2" s="1"/>
  <c r="N450" i="2"/>
  <c r="N451" i="2"/>
  <c r="P451" i="2" s="1"/>
  <c r="N452" i="2"/>
  <c r="P452" i="2" s="1"/>
  <c r="N453" i="2"/>
  <c r="P453" i="2" s="1"/>
  <c r="N454" i="2"/>
  <c r="N455" i="2"/>
  <c r="P455" i="2" s="1"/>
  <c r="N456" i="2"/>
  <c r="P456" i="2" s="1"/>
  <c r="N457" i="2"/>
  <c r="P457" i="2" s="1"/>
  <c r="N458" i="2"/>
  <c r="N459" i="2"/>
  <c r="N460" i="2"/>
  <c r="N461" i="2"/>
  <c r="N462" i="2"/>
  <c r="N463" i="2"/>
  <c r="N464" i="2"/>
  <c r="P464" i="2" s="1"/>
  <c r="N465" i="2"/>
  <c r="P465" i="2" s="1"/>
  <c r="N466" i="2"/>
  <c r="P466" i="2" s="1"/>
  <c r="N467" i="2"/>
  <c r="P467" i="2" s="1"/>
  <c r="N468" i="2"/>
  <c r="P468" i="2" s="1"/>
  <c r="N469" i="2"/>
  <c r="P469" i="2" s="1"/>
  <c r="N470" i="2"/>
  <c r="N471" i="2"/>
  <c r="N472" i="2"/>
  <c r="N473" i="2"/>
  <c r="N474" i="2"/>
  <c r="N475" i="2"/>
  <c r="N476" i="2"/>
  <c r="P476" i="2" s="1"/>
  <c r="N477" i="2"/>
  <c r="P477" i="2" s="1"/>
  <c r="N478" i="2"/>
  <c r="P478" i="2" s="1"/>
  <c r="N479" i="2"/>
  <c r="P479" i="2" s="1"/>
  <c r="N480" i="2"/>
  <c r="P480" i="2" s="1"/>
  <c r="N481" i="2"/>
  <c r="P481" i="2" s="1"/>
  <c r="N482" i="2"/>
  <c r="P482" i="2" s="1"/>
  <c r="N483" i="2"/>
  <c r="N484" i="2"/>
  <c r="N485" i="2"/>
  <c r="N486" i="2"/>
  <c r="N487" i="2"/>
  <c r="N488" i="2"/>
  <c r="P488" i="2" s="1"/>
  <c r="N489" i="2"/>
  <c r="N490" i="2"/>
  <c r="N491" i="2"/>
  <c r="P491" i="2" s="1"/>
  <c r="N492" i="2"/>
  <c r="P492" i="2" s="1"/>
  <c r="N493" i="2"/>
  <c r="P493" i="2" s="1"/>
  <c r="N494" i="2"/>
  <c r="N495" i="2"/>
  <c r="N496" i="2"/>
  <c r="N497" i="2"/>
  <c r="P497" i="2" s="1"/>
  <c r="N498" i="2"/>
  <c r="N499" i="2"/>
  <c r="P499" i="2" s="1"/>
  <c r="N500" i="2"/>
  <c r="P500" i="2" s="1"/>
  <c r="N501" i="2"/>
  <c r="P501" i="2" s="1"/>
  <c r="N502" i="2"/>
  <c r="P502" i="2" s="1"/>
  <c r="N503" i="2"/>
  <c r="P503" i="2" s="1"/>
  <c r="N504" i="2"/>
  <c r="P504" i="2" s="1"/>
  <c r="N505" i="2"/>
  <c r="P505" i="2" s="1"/>
  <c r="N506" i="2"/>
  <c r="N507" i="2"/>
  <c r="N508" i="2"/>
  <c r="N509" i="2"/>
  <c r="N510" i="2"/>
  <c r="N511" i="2"/>
  <c r="N512" i="2"/>
  <c r="P512" i="2" s="1"/>
  <c r="N513" i="2"/>
  <c r="P513" i="2" s="1"/>
  <c r="N514" i="2"/>
  <c r="P514" i="2" s="1"/>
  <c r="N515" i="2"/>
  <c r="P515" i="2" s="1"/>
  <c r="N516" i="2"/>
  <c r="P516" i="2" s="1"/>
  <c r="N517" i="2"/>
  <c r="P517" i="2" s="1"/>
  <c r="N518" i="2"/>
  <c r="P518" i="2" s="1"/>
  <c r="N519" i="2"/>
  <c r="N520" i="2"/>
  <c r="N521" i="2"/>
  <c r="N522" i="2"/>
  <c r="N523" i="2"/>
  <c r="N524" i="2"/>
  <c r="P524" i="2" s="1"/>
  <c r="N525" i="2"/>
  <c r="P525" i="2" s="1"/>
  <c r="N526" i="2"/>
  <c r="P526" i="2" s="1"/>
  <c r="N527" i="2"/>
  <c r="P527" i="2" s="1"/>
  <c r="N528" i="2"/>
  <c r="P528" i="2" s="1"/>
  <c r="N529" i="2"/>
  <c r="P529" i="2" s="1"/>
  <c r="N530" i="2"/>
  <c r="P530" i="2" s="1"/>
  <c r="N531" i="2"/>
  <c r="N532" i="2"/>
  <c r="N533" i="2"/>
  <c r="N534" i="2"/>
  <c r="N535" i="2"/>
  <c r="N536" i="2"/>
  <c r="P536" i="2" s="1"/>
  <c r="N537" i="2"/>
  <c r="P537" i="2" s="1"/>
  <c r="N538" i="2"/>
  <c r="P538" i="2" s="1"/>
  <c r="N539" i="2"/>
  <c r="P539" i="2" s="1"/>
  <c r="N540" i="2"/>
  <c r="P540" i="2" s="1"/>
  <c r="N541" i="2"/>
  <c r="P541" i="2" s="1"/>
  <c r="N542" i="2"/>
  <c r="N543" i="2"/>
  <c r="N544" i="2"/>
  <c r="N545" i="2"/>
  <c r="P545" i="2" s="1"/>
  <c r="N546" i="2"/>
  <c r="N547" i="2"/>
  <c r="P547" i="2" s="1"/>
  <c r="N548" i="2"/>
  <c r="P548" i="2" s="1"/>
  <c r="N549" i="2"/>
  <c r="P549" i="2" s="1"/>
  <c r="N550" i="2"/>
  <c r="N551" i="2"/>
  <c r="N552" i="2"/>
  <c r="P552" i="2" s="1"/>
  <c r="N553" i="2"/>
  <c r="P553" i="2" s="1"/>
  <c r="N554" i="2"/>
  <c r="N555" i="2"/>
  <c r="N556" i="2"/>
  <c r="N557" i="2"/>
  <c r="N558" i="2"/>
  <c r="N559" i="2"/>
  <c r="N560" i="2"/>
  <c r="P560" i="2" s="1"/>
  <c r="N561" i="2"/>
  <c r="P561" i="2" s="1"/>
  <c r="N562" i="2"/>
  <c r="P562" i="2" s="1"/>
  <c r="N563" i="2"/>
  <c r="P563" i="2" s="1"/>
  <c r="N564" i="2"/>
  <c r="P564" i="2" s="1"/>
  <c r="N565" i="2"/>
  <c r="P565" i="2" s="1"/>
  <c r="N566" i="2"/>
  <c r="P566" i="2" s="1"/>
  <c r="N567" i="2"/>
  <c r="N568" i="2"/>
  <c r="N569" i="2"/>
  <c r="N570" i="2"/>
  <c r="N571" i="2"/>
  <c r="N572" i="2"/>
  <c r="P572" i="2" s="1"/>
  <c r="N573" i="2"/>
  <c r="N574" i="2"/>
  <c r="N575" i="2"/>
  <c r="P575" i="2" s="1"/>
  <c r="N576" i="2"/>
  <c r="P576" i="2" s="1"/>
  <c r="N577" i="2"/>
  <c r="P577" i="2" s="1"/>
  <c r="N578" i="2"/>
  <c r="P578" i="2" s="1"/>
  <c r="N579" i="2"/>
  <c r="N580" i="2"/>
  <c r="N581" i="2"/>
  <c r="N582" i="2"/>
  <c r="N583" i="2"/>
  <c r="N584" i="2"/>
  <c r="P584" i="2" s="1"/>
  <c r="N585" i="2"/>
  <c r="P585" i="2" s="1"/>
  <c r="N586" i="2"/>
  <c r="P586" i="2" s="1"/>
  <c r="N587" i="2"/>
  <c r="P587" i="2" s="1"/>
  <c r="N588" i="2"/>
  <c r="P588" i="2" s="1"/>
  <c r="N589" i="2"/>
  <c r="P589" i="2" s="1"/>
  <c r="N590" i="2"/>
  <c r="N591" i="2"/>
  <c r="N592" i="2"/>
  <c r="N593" i="2"/>
  <c r="P593" i="2" s="1"/>
  <c r="N594" i="2"/>
  <c r="N595" i="2"/>
  <c r="P595" i="2" s="1"/>
  <c r="N596" i="2"/>
  <c r="P596" i="2" s="1"/>
  <c r="N597" i="2"/>
  <c r="P597" i="2" s="1"/>
  <c r="N598" i="2"/>
  <c r="P598" i="2" s="1"/>
  <c r="N599" i="2"/>
  <c r="P599" i="2" s="1"/>
  <c r="N600" i="2"/>
  <c r="P600" i="2" s="1"/>
  <c r="N601" i="2"/>
  <c r="P601" i="2" s="1"/>
  <c r="N602" i="2"/>
  <c r="N603" i="2"/>
  <c r="N604" i="2"/>
  <c r="N605" i="2"/>
  <c r="N606" i="2"/>
  <c r="N607" i="2"/>
  <c r="N608" i="2"/>
  <c r="P608" i="2" s="1"/>
  <c r="N609" i="2"/>
  <c r="P609" i="2" s="1"/>
  <c r="N610" i="2"/>
  <c r="P610" i="2" s="1"/>
  <c r="N611" i="2"/>
  <c r="P611" i="2" s="1"/>
  <c r="N612" i="2"/>
  <c r="P612" i="2" s="1"/>
  <c r="N613" i="2"/>
  <c r="P613" i="2" s="1"/>
  <c r="N614" i="2"/>
  <c r="P614" i="2" s="1"/>
  <c r="N615" i="2"/>
  <c r="N616" i="2"/>
  <c r="N617" i="2"/>
  <c r="N618" i="2"/>
  <c r="N619" i="2"/>
  <c r="N620" i="2"/>
  <c r="P620" i="2" s="1"/>
  <c r="N621" i="2"/>
  <c r="P621" i="2" s="1"/>
  <c r="N622" i="2"/>
  <c r="P622" i="2" s="1"/>
  <c r="N623" i="2"/>
  <c r="P623" i="2" s="1"/>
  <c r="N624" i="2"/>
  <c r="P624" i="2" s="1"/>
  <c r="N625" i="2"/>
  <c r="P625" i="2" s="1"/>
  <c r="N626" i="2"/>
  <c r="P626" i="2" s="1"/>
  <c r="N627" i="2"/>
  <c r="N628" i="2"/>
  <c r="N629" i="2"/>
  <c r="N630" i="2"/>
  <c r="N631" i="2"/>
  <c r="N632" i="2"/>
  <c r="P632" i="2" s="1"/>
  <c r="N633" i="2"/>
  <c r="N634" i="2"/>
  <c r="N635" i="2"/>
  <c r="P635" i="2" s="1"/>
  <c r="N636" i="2"/>
  <c r="P636" i="2" s="1"/>
  <c r="N637" i="2"/>
  <c r="P637" i="2" s="1"/>
  <c r="N638" i="2"/>
  <c r="N639" i="2"/>
  <c r="N640" i="2"/>
  <c r="N641" i="2"/>
  <c r="P641" i="2" s="1"/>
  <c r="N642" i="2"/>
  <c r="N643" i="2"/>
  <c r="P643" i="2" s="1"/>
  <c r="N644" i="2"/>
  <c r="P644" i="2" s="1"/>
  <c r="N645" i="2"/>
  <c r="P645" i="2" s="1"/>
  <c r="N646" i="2"/>
  <c r="P646" i="2" s="1"/>
  <c r="N647" i="2"/>
  <c r="P647" i="2" s="1"/>
  <c r="N648" i="2"/>
  <c r="P648" i="2" s="1"/>
  <c r="N649" i="2"/>
  <c r="P649" i="2" s="1"/>
  <c r="N650" i="2"/>
  <c r="N651" i="2"/>
  <c r="N652" i="2"/>
  <c r="N653" i="2"/>
  <c r="N654" i="2"/>
  <c r="N655" i="2"/>
  <c r="N656" i="2"/>
  <c r="P656" i="2" s="1"/>
  <c r="N657" i="2"/>
  <c r="P657" i="2" s="1"/>
  <c r="N658" i="2"/>
  <c r="P658" i="2" s="1"/>
  <c r="N659" i="2"/>
  <c r="P659" i="2" s="1"/>
  <c r="N660" i="2"/>
  <c r="P660" i="2" s="1"/>
  <c r="N661" i="2"/>
  <c r="P661" i="2" s="1"/>
  <c r="N662" i="2"/>
  <c r="P662" i="2" s="1"/>
  <c r="N663" i="2"/>
  <c r="N664" i="2"/>
  <c r="N665" i="2"/>
  <c r="N666" i="2"/>
  <c r="N667" i="2"/>
  <c r="N668" i="2"/>
  <c r="P668" i="2" s="1"/>
  <c r="N669" i="2"/>
  <c r="P669" i="2" s="1"/>
  <c r="N670" i="2"/>
  <c r="P670" i="2" s="1"/>
  <c r="N671" i="2"/>
  <c r="P671" i="2" s="1"/>
  <c r="N672" i="2"/>
  <c r="P672" i="2" s="1"/>
  <c r="N673" i="2"/>
  <c r="P673" i="2" s="1"/>
  <c r="N674" i="2"/>
  <c r="P674" i="2" s="1"/>
  <c r="N675" i="2"/>
  <c r="N676" i="2"/>
  <c r="N677" i="2"/>
  <c r="N678" i="2"/>
  <c r="N679" i="2"/>
  <c r="N680" i="2"/>
  <c r="P680" i="2" s="1"/>
  <c r="N681" i="2"/>
  <c r="P681" i="2" s="1"/>
  <c r="N682" i="2"/>
  <c r="P682" i="2" s="1"/>
  <c r="N683" i="2"/>
  <c r="P683" i="2" s="1"/>
  <c r="N684" i="2"/>
  <c r="P684" i="2" s="1"/>
  <c r="N685" i="2"/>
  <c r="P685" i="2" s="1"/>
  <c r="N686" i="2"/>
  <c r="N687" i="2"/>
  <c r="N688" i="2"/>
  <c r="N689" i="2"/>
  <c r="P689" i="2" s="1"/>
  <c r="N690" i="2"/>
  <c r="N691" i="2"/>
  <c r="P691" i="2" s="1"/>
  <c r="N692" i="2"/>
  <c r="P692" i="2" s="1"/>
  <c r="N693" i="2"/>
  <c r="P693" i="2" s="1"/>
  <c r="N694" i="2"/>
  <c r="N695" i="2"/>
  <c r="N696" i="2"/>
  <c r="P696" i="2" s="1"/>
  <c r="N697" i="2"/>
  <c r="P697" i="2" s="1"/>
  <c r="N698" i="2"/>
  <c r="N699" i="2"/>
  <c r="N700" i="2"/>
  <c r="N701" i="2"/>
  <c r="N702" i="2"/>
  <c r="N703" i="2"/>
  <c r="N704" i="2"/>
  <c r="P704" i="2" s="1"/>
  <c r="N705" i="2"/>
  <c r="P705" i="2" s="1"/>
  <c r="N706" i="2"/>
  <c r="P706" i="2" s="1"/>
  <c r="N707" i="2"/>
  <c r="P707" i="2" s="1"/>
  <c r="N708" i="2"/>
  <c r="P708" i="2" s="1"/>
  <c r="N709" i="2"/>
  <c r="P709" i="2" s="1"/>
  <c r="N710" i="2"/>
  <c r="P710" i="2" s="1"/>
  <c r="N711" i="2"/>
  <c r="N712" i="2"/>
  <c r="N713" i="2"/>
  <c r="N714" i="2"/>
  <c r="N715" i="2"/>
  <c r="N716" i="2"/>
  <c r="P716" i="2" s="1"/>
  <c r="N717" i="2"/>
  <c r="N718" i="2"/>
  <c r="N719" i="2"/>
  <c r="P719" i="2" s="1"/>
  <c r="N720" i="2"/>
  <c r="P720" i="2" s="1"/>
  <c r="N721" i="2"/>
  <c r="P721" i="2" s="1"/>
  <c r="N722" i="2"/>
  <c r="P722" i="2" s="1"/>
  <c r="N723" i="2"/>
  <c r="N724" i="2"/>
  <c r="N725" i="2"/>
  <c r="N726" i="2"/>
  <c r="N727" i="2"/>
  <c r="N728" i="2"/>
  <c r="P728" i="2" s="1"/>
  <c r="N729" i="2"/>
  <c r="P729" i="2" s="1"/>
  <c r="N730" i="2"/>
  <c r="P730" i="2" s="1"/>
  <c r="N731" i="2"/>
  <c r="P731" i="2" s="1"/>
  <c r="N732" i="2"/>
  <c r="P732" i="2" s="1"/>
  <c r="N733" i="2"/>
  <c r="P733" i="2" s="1"/>
  <c r="N734" i="2"/>
  <c r="N735" i="2"/>
  <c r="N736" i="2"/>
  <c r="N737" i="2"/>
  <c r="P737" i="2" s="1"/>
  <c r="N738" i="2"/>
  <c r="N739" i="2"/>
  <c r="P739" i="2" s="1"/>
  <c r="N740" i="2"/>
  <c r="P740" i="2" s="1"/>
  <c r="N741" i="2"/>
  <c r="P741" i="2" s="1"/>
  <c r="N742" i="2"/>
  <c r="P742" i="2" s="1"/>
  <c r="N743" i="2"/>
  <c r="P743" i="2" s="1"/>
  <c r="N744" i="2"/>
  <c r="P744" i="2" s="1"/>
  <c r="N745" i="2"/>
  <c r="P745" i="2" s="1"/>
  <c r="N746" i="2"/>
  <c r="N747" i="2"/>
  <c r="N748" i="2"/>
  <c r="N749" i="2"/>
  <c r="N750" i="2"/>
  <c r="N751" i="2"/>
  <c r="N752" i="2"/>
  <c r="P752" i="2" s="1"/>
  <c r="N753" i="2"/>
  <c r="P753" i="2" s="1"/>
  <c r="N754" i="2"/>
  <c r="P754" i="2" s="1"/>
  <c r="N755" i="2"/>
  <c r="P755" i="2" s="1"/>
  <c r="N756" i="2"/>
  <c r="P756" i="2" s="1"/>
  <c r="N757" i="2"/>
  <c r="P757" i="2" s="1"/>
  <c r="N758" i="2"/>
  <c r="P758" i="2" s="1"/>
  <c r="N759" i="2"/>
  <c r="N760" i="2"/>
  <c r="N761" i="2"/>
  <c r="N762" i="2"/>
  <c r="N763" i="2"/>
  <c r="N764" i="2"/>
  <c r="P764" i="2" s="1"/>
  <c r="N765" i="2"/>
  <c r="P765" i="2" s="1"/>
  <c r="N766" i="2"/>
  <c r="P766" i="2" s="1"/>
  <c r="N767" i="2"/>
  <c r="P767" i="2" s="1"/>
  <c r="N768" i="2"/>
  <c r="P768" i="2" s="1"/>
  <c r="N769" i="2"/>
  <c r="P769" i="2" s="1"/>
  <c r="N770" i="2"/>
  <c r="P770" i="2" s="1"/>
  <c r="N771" i="2"/>
  <c r="N772" i="2"/>
  <c r="N773" i="2"/>
  <c r="N774" i="2"/>
  <c r="N775" i="2"/>
  <c r="N776" i="2"/>
  <c r="P776" i="2" s="1"/>
  <c r="N777" i="2"/>
  <c r="N778" i="2"/>
  <c r="N779" i="2"/>
  <c r="P779" i="2" s="1"/>
  <c r="N780" i="2"/>
  <c r="P780" i="2" s="1"/>
  <c r="N781" i="2"/>
  <c r="P781" i="2" s="1"/>
  <c r="N782" i="2"/>
  <c r="N783" i="2"/>
  <c r="N784" i="2"/>
  <c r="N785" i="2"/>
  <c r="P785" i="2" s="1"/>
  <c r="N786" i="2"/>
  <c r="N787" i="2"/>
  <c r="P787" i="2" s="1"/>
  <c r="N788" i="2"/>
  <c r="P788" i="2" s="1"/>
  <c r="N789" i="2"/>
  <c r="P789" i="2" s="1"/>
  <c r="N790" i="2"/>
  <c r="P790" i="2" s="1"/>
  <c r="N791" i="2"/>
  <c r="P791" i="2" s="1"/>
  <c r="N792" i="2"/>
  <c r="P792" i="2" s="1"/>
  <c r="N793" i="2"/>
  <c r="P793" i="2" s="1"/>
  <c r="N794" i="2"/>
  <c r="N795" i="2"/>
  <c r="N796" i="2"/>
  <c r="N797" i="2"/>
  <c r="N798" i="2"/>
  <c r="N799" i="2"/>
  <c r="N800" i="2"/>
  <c r="P800" i="2" s="1"/>
  <c r="N801" i="2"/>
  <c r="P801" i="2" s="1"/>
  <c r="N802" i="2"/>
  <c r="P802" i="2" s="1"/>
  <c r="N803" i="2"/>
  <c r="P803" i="2" s="1"/>
  <c r="N804" i="2"/>
  <c r="P804" i="2" s="1"/>
  <c r="N805" i="2"/>
  <c r="P805" i="2" s="1"/>
  <c r="N806" i="2"/>
  <c r="P806" i="2" s="1"/>
  <c r="N807" i="2"/>
  <c r="N808" i="2"/>
  <c r="N809" i="2"/>
  <c r="N810" i="2"/>
  <c r="N811" i="2"/>
  <c r="N812" i="2"/>
  <c r="P812" i="2" s="1"/>
  <c r="N813" i="2"/>
  <c r="P813" i="2" s="1"/>
  <c r="N814" i="2"/>
  <c r="P814" i="2" s="1"/>
  <c r="N815" i="2"/>
  <c r="P815" i="2" s="1"/>
  <c r="N816" i="2"/>
  <c r="P816" i="2" s="1"/>
  <c r="N817" i="2"/>
  <c r="P817" i="2" s="1"/>
  <c r="N818" i="2"/>
  <c r="P818" i="2" s="1"/>
  <c r="N819" i="2"/>
  <c r="N820" i="2"/>
  <c r="N821" i="2"/>
  <c r="N822" i="2"/>
  <c r="N823" i="2"/>
  <c r="N824" i="2"/>
  <c r="P824" i="2" s="1"/>
  <c r="N825" i="2"/>
  <c r="P825" i="2" s="1"/>
  <c r="N826" i="2"/>
  <c r="P826" i="2" s="1"/>
  <c r="N827" i="2"/>
  <c r="P827" i="2" s="1"/>
  <c r="N828" i="2"/>
  <c r="P828" i="2" s="1"/>
  <c r="N829" i="2"/>
  <c r="P829" i="2" s="1"/>
  <c r="N830" i="2"/>
  <c r="N831" i="2"/>
  <c r="N832" i="2"/>
  <c r="N833" i="2"/>
  <c r="P833" i="2" s="1"/>
  <c r="N834" i="2"/>
  <c r="N835" i="2"/>
  <c r="P835" i="2" s="1"/>
  <c r="N836" i="2"/>
  <c r="P836" i="2" s="1"/>
  <c r="N837" i="2"/>
  <c r="N838" i="2"/>
  <c r="N839" i="2"/>
  <c r="N840" i="2"/>
  <c r="P840" i="2" s="1"/>
  <c r="N841" i="2"/>
  <c r="P841" i="2" s="1"/>
  <c r="N842" i="2"/>
  <c r="N843" i="2"/>
  <c r="N844" i="2"/>
  <c r="N845" i="2"/>
  <c r="N846" i="2"/>
  <c r="N847" i="2"/>
  <c r="N848" i="2"/>
  <c r="P848" i="2" s="1"/>
  <c r="N849" i="2"/>
  <c r="P849" i="2" s="1"/>
  <c r="N850" i="2"/>
  <c r="P850" i="2" s="1"/>
  <c r="N851" i="2"/>
  <c r="P851" i="2" s="1"/>
  <c r="N852" i="2"/>
  <c r="P852" i="2" s="1"/>
  <c r="N853" i="2"/>
  <c r="P853" i="2" s="1"/>
  <c r="N854" i="2"/>
  <c r="N855" i="2"/>
  <c r="N856" i="2"/>
  <c r="N857" i="2"/>
  <c r="N858" i="2"/>
  <c r="N859" i="2"/>
  <c r="N860" i="2"/>
  <c r="P860" i="2" s="1"/>
  <c r="N861" i="2"/>
  <c r="N862" i="2"/>
  <c r="P862" i="2" s="1"/>
  <c r="N863" i="2"/>
  <c r="P863" i="2" s="1"/>
  <c r="N864" i="2"/>
  <c r="P864" i="2" s="1"/>
  <c r="N865" i="2"/>
  <c r="P865" i="2" s="1"/>
  <c r="N866" i="2"/>
  <c r="P866" i="2" s="1"/>
  <c r="N867" i="2"/>
  <c r="P867" i="2" s="1"/>
  <c r="N868" i="2"/>
  <c r="N869" i="2"/>
  <c r="N870" i="2"/>
  <c r="N871" i="2"/>
  <c r="N872" i="2"/>
  <c r="P872" i="2" s="1"/>
  <c r="N873" i="2"/>
  <c r="P873" i="2" s="1"/>
  <c r="N874" i="2"/>
  <c r="P874" i="2" s="1"/>
  <c r="N875" i="2"/>
  <c r="P875" i="2" s="1"/>
  <c r="N876" i="2"/>
  <c r="P876" i="2" s="1"/>
  <c r="N877" i="2"/>
  <c r="P877" i="2" s="1"/>
  <c r="N878" i="2"/>
  <c r="N879" i="2"/>
  <c r="N880" i="2"/>
  <c r="N881" i="2"/>
  <c r="P881" i="2" s="1"/>
  <c r="N882" i="2"/>
  <c r="N883" i="2"/>
  <c r="P883" i="2" s="1"/>
  <c r="N884" i="2"/>
  <c r="P884" i="2" s="1"/>
  <c r="N885" i="2"/>
  <c r="P885" i="2" s="1"/>
  <c r="N886" i="2"/>
  <c r="P886" i="2" s="1"/>
  <c r="N887" i="2"/>
  <c r="P887" i="2" s="1"/>
  <c r="N888" i="2"/>
  <c r="P888" i="2" s="1"/>
  <c r="N889" i="2"/>
  <c r="P889" i="2" s="1"/>
  <c r="N890" i="2"/>
  <c r="N891" i="2"/>
  <c r="N892" i="2"/>
  <c r="N893" i="2"/>
  <c r="N894" i="2"/>
  <c r="N895" i="2"/>
  <c r="N896" i="2"/>
  <c r="P896" i="2" s="1"/>
  <c r="N897" i="2"/>
  <c r="P897" i="2" s="1"/>
  <c r="N898" i="2"/>
  <c r="P898" i="2" s="1"/>
  <c r="N899" i="2"/>
  <c r="P899" i="2" s="1"/>
  <c r="N900" i="2"/>
  <c r="P900" i="2" s="1"/>
  <c r="N901" i="2"/>
  <c r="P901" i="2" s="1"/>
  <c r="N902" i="2"/>
  <c r="N903" i="2"/>
  <c r="N904" i="2"/>
  <c r="N905" i="2"/>
  <c r="N906" i="2"/>
  <c r="N907" i="2"/>
  <c r="N908" i="2"/>
  <c r="P908" i="2" s="1"/>
  <c r="N909" i="2"/>
  <c r="P909" i="2" s="1"/>
  <c r="N910" i="2"/>
  <c r="P910" i="2" s="1"/>
  <c r="N911" i="2"/>
  <c r="P911" i="2" s="1"/>
  <c r="N912" i="2"/>
  <c r="P912" i="2" s="1"/>
  <c r="N913" i="2"/>
  <c r="P913" i="2" s="1"/>
  <c r="N914" i="2"/>
  <c r="P914" i="2" s="1"/>
  <c r="N915" i="2"/>
  <c r="P915" i="2" s="1"/>
  <c r="N916" i="2"/>
  <c r="N917" i="2"/>
  <c r="N918" i="2"/>
  <c r="N919" i="2"/>
  <c r="N920" i="2"/>
  <c r="P920" i="2" s="1"/>
  <c r="N921" i="2"/>
  <c r="N922" i="2"/>
  <c r="P922" i="2" s="1"/>
  <c r="N923" i="2"/>
  <c r="P923" i="2" s="1"/>
  <c r="N924" i="2"/>
  <c r="P924" i="2" s="1"/>
  <c r="N925" i="2"/>
  <c r="P925" i="2" s="1"/>
  <c r="N926" i="2"/>
  <c r="N927" i="2"/>
  <c r="N928" i="2"/>
  <c r="N929" i="2"/>
  <c r="P929" i="2" s="1"/>
  <c r="N930" i="2"/>
  <c r="N931" i="2"/>
  <c r="P931" i="2" s="1"/>
  <c r="N932" i="2"/>
  <c r="P932" i="2" s="1"/>
  <c r="N933" i="2"/>
  <c r="P933" i="2" s="1"/>
  <c r="N934" i="2"/>
  <c r="P934" i="2" s="1"/>
  <c r="N935" i="2"/>
  <c r="P935" i="2" s="1"/>
  <c r="N936" i="2"/>
  <c r="P936" i="2" s="1"/>
  <c r="N937" i="2"/>
  <c r="P937" i="2" s="1"/>
  <c r="N938" i="2"/>
  <c r="N939" i="2"/>
  <c r="N940" i="2"/>
  <c r="N941" i="2"/>
  <c r="N942" i="2"/>
  <c r="N943" i="2"/>
  <c r="N944" i="2"/>
  <c r="P944" i="2" s="1"/>
  <c r="N945" i="2"/>
  <c r="P945" i="2" s="1"/>
  <c r="N946" i="2"/>
  <c r="P946" i="2" s="1"/>
  <c r="N947" i="2"/>
  <c r="P947" i="2" s="1"/>
  <c r="N948" i="2"/>
  <c r="P948" i="2" s="1"/>
  <c r="N949" i="2"/>
  <c r="P949" i="2" s="1"/>
  <c r="N950" i="2"/>
  <c r="N951" i="2"/>
  <c r="N952" i="2"/>
  <c r="N953" i="2"/>
  <c r="N954" i="2"/>
  <c r="N955" i="2"/>
  <c r="N956" i="2"/>
  <c r="P956" i="2" s="1"/>
  <c r="N957" i="2"/>
  <c r="N958" i="2"/>
  <c r="N959" i="2"/>
  <c r="P959" i="2" s="1"/>
  <c r="N960" i="2"/>
  <c r="P960" i="2" s="1"/>
  <c r="N961" i="2"/>
  <c r="P961" i="2" s="1"/>
  <c r="N962" i="2"/>
  <c r="P962" i="2" s="1"/>
  <c r="N963" i="2"/>
  <c r="N964" i="2"/>
  <c r="N965" i="2"/>
  <c r="N966" i="2"/>
  <c r="N967" i="2"/>
  <c r="N968" i="2"/>
  <c r="P968" i="2" s="1"/>
  <c r="N969" i="2"/>
  <c r="P969" i="2" s="1"/>
  <c r="N970" i="2"/>
  <c r="P970" i="2" s="1"/>
  <c r="N971" i="2"/>
  <c r="P971" i="2" s="1"/>
  <c r="N972" i="2"/>
  <c r="P972" i="2" s="1"/>
  <c r="N973" i="2"/>
  <c r="P973" i="2" s="1"/>
  <c r="N974" i="2"/>
  <c r="N975" i="2"/>
  <c r="N976" i="2"/>
  <c r="N977" i="2"/>
  <c r="P977" i="2" s="1"/>
  <c r="N978" i="2"/>
  <c r="N979" i="2"/>
  <c r="P979" i="2" s="1"/>
  <c r="N980" i="2"/>
  <c r="P980" i="2" s="1"/>
  <c r="N981" i="2"/>
  <c r="P981" i="2" s="1"/>
  <c r="N982" i="2"/>
  <c r="P982" i="2" s="1"/>
  <c r="N983" i="2"/>
  <c r="P983" i="2" s="1"/>
  <c r="N984" i="2"/>
  <c r="P984" i="2" s="1"/>
  <c r="N985" i="2"/>
  <c r="P985" i="2" s="1"/>
  <c r="N986" i="2"/>
  <c r="N987" i="2"/>
  <c r="N988" i="2"/>
  <c r="N989" i="2"/>
  <c r="N990" i="2"/>
  <c r="N991" i="2"/>
  <c r="N992" i="2"/>
  <c r="P992" i="2" s="1"/>
  <c r="N993" i="2"/>
  <c r="P993" i="2" s="1"/>
  <c r="N994" i="2"/>
  <c r="N995" i="2"/>
  <c r="P995" i="2" s="1"/>
  <c r="N996" i="2"/>
  <c r="P996" i="2" s="1"/>
  <c r="N997" i="2"/>
  <c r="P997" i="2" s="1"/>
  <c r="N998"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P3" i="2"/>
  <c r="P4" i="2"/>
  <c r="P5" i="2"/>
  <c r="P6" i="2"/>
  <c r="P7" i="2"/>
  <c r="P9" i="2"/>
  <c r="P10" i="2"/>
  <c r="P11" i="2"/>
  <c r="P14" i="2"/>
  <c r="P15" i="2"/>
  <c r="P16" i="2"/>
  <c r="P18" i="2"/>
  <c r="P26" i="2"/>
  <c r="P27" i="2"/>
  <c r="P28" i="2"/>
  <c r="P29" i="2"/>
  <c r="P30" i="2"/>
  <c r="P31" i="2"/>
  <c r="P38" i="2"/>
  <c r="P39" i="2"/>
  <c r="P40" i="2"/>
  <c r="P41" i="2"/>
  <c r="P42" i="2"/>
  <c r="P43" i="2"/>
  <c r="P51" i="2"/>
  <c r="P52" i="2"/>
  <c r="P53" i="2"/>
  <c r="P54" i="2"/>
  <c r="P55" i="2"/>
  <c r="P62" i="2"/>
  <c r="P63" i="2"/>
  <c r="P64" i="2"/>
  <c r="P66" i="2"/>
  <c r="P74" i="2"/>
  <c r="P75" i="2"/>
  <c r="P76" i="2"/>
  <c r="P77" i="2"/>
  <c r="P78" i="2"/>
  <c r="P79" i="2"/>
  <c r="P86" i="2"/>
  <c r="P87" i="2"/>
  <c r="P88" i="2"/>
  <c r="P89" i="2"/>
  <c r="P90" i="2"/>
  <c r="P91" i="2"/>
  <c r="P93" i="2"/>
  <c r="P94" i="2"/>
  <c r="P99" i="2"/>
  <c r="P100" i="2"/>
  <c r="P101" i="2"/>
  <c r="P102" i="2"/>
  <c r="P103" i="2"/>
  <c r="P110" i="2"/>
  <c r="P111" i="2"/>
  <c r="P112" i="2"/>
  <c r="P114" i="2"/>
  <c r="P122" i="2"/>
  <c r="P123" i="2"/>
  <c r="P124" i="2"/>
  <c r="P125" i="2"/>
  <c r="P126" i="2"/>
  <c r="P127" i="2"/>
  <c r="P134" i="2"/>
  <c r="P135" i="2"/>
  <c r="P136" i="2"/>
  <c r="P137" i="2"/>
  <c r="P138" i="2"/>
  <c r="P139" i="2"/>
  <c r="P147" i="2"/>
  <c r="P148" i="2"/>
  <c r="P149" i="2"/>
  <c r="P150" i="2"/>
  <c r="P151" i="2"/>
  <c r="P153" i="2"/>
  <c r="P154" i="2"/>
  <c r="P158" i="2"/>
  <c r="P159" i="2"/>
  <c r="P160" i="2"/>
  <c r="P162" i="2"/>
  <c r="P170" i="2"/>
  <c r="P171" i="2"/>
  <c r="P172" i="2"/>
  <c r="P173" i="2"/>
  <c r="P174" i="2"/>
  <c r="P175" i="2"/>
  <c r="P182" i="2"/>
  <c r="P183" i="2"/>
  <c r="P184" i="2"/>
  <c r="P185" i="2"/>
  <c r="P186" i="2"/>
  <c r="P187" i="2"/>
  <c r="P189" i="2"/>
  <c r="P190" i="2"/>
  <c r="P191" i="2"/>
  <c r="P195" i="2"/>
  <c r="P196" i="2"/>
  <c r="P197" i="2"/>
  <c r="P198" i="2"/>
  <c r="P199" i="2"/>
  <c r="P206" i="2"/>
  <c r="P207" i="2"/>
  <c r="P208" i="2"/>
  <c r="P210" i="2"/>
  <c r="P214" i="2"/>
  <c r="P218" i="2"/>
  <c r="P219" i="2"/>
  <c r="P220" i="2"/>
  <c r="P221" i="2"/>
  <c r="P222" i="2"/>
  <c r="P223" i="2"/>
  <c r="P230" i="2"/>
  <c r="P231" i="2"/>
  <c r="P232" i="2"/>
  <c r="P233" i="2"/>
  <c r="P234" i="2"/>
  <c r="P235" i="2"/>
  <c r="P243" i="2"/>
  <c r="P244" i="2"/>
  <c r="P245" i="2"/>
  <c r="P246" i="2"/>
  <c r="P247" i="2"/>
  <c r="P249" i="2"/>
  <c r="P250" i="2"/>
  <c r="P251" i="2"/>
  <c r="P254" i="2"/>
  <c r="P255" i="2"/>
  <c r="P256" i="2"/>
  <c r="P258" i="2"/>
  <c r="P266" i="2"/>
  <c r="P267" i="2"/>
  <c r="P268" i="2"/>
  <c r="P269" i="2"/>
  <c r="P270" i="2"/>
  <c r="P271" i="2"/>
  <c r="P278" i="2"/>
  <c r="P279" i="2"/>
  <c r="P280" i="2"/>
  <c r="P281" i="2"/>
  <c r="P282" i="2"/>
  <c r="P283" i="2"/>
  <c r="P291" i="2"/>
  <c r="P292" i="2"/>
  <c r="P293" i="2"/>
  <c r="P294" i="2"/>
  <c r="P295" i="2"/>
  <c r="P302" i="2"/>
  <c r="P303" i="2"/>
  <c r="P304" i="2"/>
  <c r="P306" i="2"/>
  <c r="P310" i="2"/>
  <c r="P311" i="2"/>
  <c r="P314" i="2"/>
  <c r="P315" i="2"/>
  <c r="P316" i="2"/>
  <c r="P317" i="2"/>
  <c r="P318" i="2"/>
  <c r="P319" i="2"/>
  <c r="P326" i="2"/>
  <c r="P327" i="2"/>
  <c r="P328" i="2"/>
  <c r="P329" i="2"/>
  <c r="P330" i="2"/>
  <c r="P331" i="2"/>
  <c r="P333" i="2"/>
  <c r="P334" i="2"/>
  <c r="P339" i="2"/>
  <c r="P340" i="2"/>
  <c r="P341" i="2"/>
  <c r="P342" i="2"/>
  <c r="P343" i="2"/>
  <c r="P350" i="2"/>
  <c r="P351" i="2"/>
  <c r="P352" i="2"/>
  <c r="P354" i="2"/>
  <c r="P362" i="2"/>
  <c r="P363" i="2"/>
  <c r="P364" i="2"/>
  <c r="P365" i="2"/>
  <c r="P366" i="2"/>
  <c r="P367" i="2"/>
  <c r="P374" i="2"/>
  <c r="P375" i="2"/>
  <c r="P376" i="2"/>
  <c r="P377" i="2"/>
  <c r="P378" i="2"/>
  <c r="P379" i="2"/>
  <c r="P387" i="2"/>
  <c r="P388" i="2"/>
  <c r="P389" i="2"/>
  <c r="P390" i="2"/>
  <c r="P391" i="2"/>
  <c r="P393" i="2"/>
  <c r="P398" i="2"/>
  <c r="P399" i="2"/>
  <c r="P400" i="2"/>
  <c r="P402" i="2"/>
  <c r="P410" i="2"/>
  <c r="P411" i="2"/>
  <c r="P412" i="2"/>
  <c r="P413" i="2"/>
  <c r="P414" i="2"/>
  <c r="P415" i="2"/>
  <c r="P422" i="2"/>
  <c r="P423" i="2"/>
  <c r="P424" i="2"/>
  <c r="P425" i="2"/>
  <c r="P426" i="2"/>
  <c r="P427" i="2"/>
  <c r="P429" i="2"/>
  <c r="P430" i="2"/>
  <c r="P431" i="2"/>
  <c r="P435" i="2"/>
  <c r="P436" i="2"/>
  <c r="P437" i="2"/>
  <c r="P438" i="2"/>
  <c r="P439" i="2"/>
  <c r="P446" i="2"/>
  <c r="P447" i="2"/>
  <c r="P448" i="2"/>
  <c r="P450" i="2"/>
  <c r="P454" i="2"/>
  <c r="P458" i="2"/>
  <c r="P459" i="2"/>
  <c r="P460" i="2"/>
  <c r="P461" i="2"/>
  <c r="P462" i="2"/>
  <c r="P463" i="2"/>
  <c r="P470" i="2"/>
  <c r="P471" i="2"/>
  <c r="P472" i="2"/>
  <c r="P473" i="2"/>
  <c r="P474" i="2"/>
  <c r="P475" i="2"/>
  <c r="P483" i="2"/>
  <c r="P484" i="2"/>
  <c r="P485" i="2"/>
  <c r="P486" i="2"/>
  <c r="P487" i="2"/>
  <c r="P489" i="2"/>
  <c r="P490" i="2"/>
  <c r="P494" i="2"/>
  <c r="P495" i="2"/>
  <c r="P496" i="2"/>
  <c r="P498" i="2"/>
  <c r="P506" i="2"/>
  <c r="P507" i="2"/>
  <c r="P508" i="2"/>
  <c r="P509" i="2"/>
  <c r="P510" i="2"/>
  <c r="P511" i="2"/>
  <c r="P519" i="2"/>
  <c r="P520" i="2"/>
  <c r="P521" i="2"/>
  <c r="P522" i="2"/>
  <c r="P523" i="2"/>
  <c r="P531" i="2"/>
  <c r="P532" i="2"/>
  <c r="P533" i="2"/>
  <c r="P534" i="2"/>
  <c r="P535" i="2"/>
  <c r="P542" i="2"/>
  <c r="P543" i="2"/>
  <c r="P544" i="2"/>
  <c r="P546" i="2"/>
  <c r="P550" i="2"/>
  <c r="P551" i="2"/>
  <c r="P554" i="2"/>
  <c r="P555" i="2"/>
  <c r="P556" i="2"/>
  <c r="P557" i="2"/>
  <c r="P558" i="2"/>
  <c r="P559" i="2"/>
  <c r="P567" i="2"/>
  <c r="P568" i="2"/>
  <c r="P569" i="2"/>
  <c r="P570" i="2"/>
  <c r="P571" i="2"/>
  <c r="P573" i="2"/>
  <c r="P574" i="2"/>
  <c r="P579" i="2"/>
  <c r="P580" i="2"/>
  <c r="P581" i="2"/>
  <c r="P582" i="2"/>
  <c r="P583" i="2"/>
  <c r="P590" i="2"/>
  <c r="P591" i="2"/>
  <c r="P592" i="2"/>
  <c r="P594" i="2"/>
  <c r="P602" i="2"/>
  <c r="P603" i="2"/>
  <c r="P604" i="2"/>
  <c r="P605" i="2"/>
  <c r="P606" i="2"/>
  <c r="P607" i="2"/>
  <c r="P615" i="2"/>
  <c r="P616" i="2"/>
  <c r="P617" i="2"/>
  <c r="P618" i="2"/>
  <c r="P619" i="2"/>
  <c r="P627" i="2"/>
  <c r="P628" i="2"/>
  <c r="P629" i="2"/>
  <c r="P630" i="2"/>
  <c r="P631" i="2"/>
  <c r="P633" i="2"/>
  <c r="P634" i="2"/>
  <c r="P638" i="2"/>
  <c r="P639" i="2"/>
  <c r="P640" i="2"/>
  <c r="P642" i="2"/>
  <c r="P650" i="2"/>
  <c r="P651" i="2"/>
  <c r="P652" i="2"/>
  <c r="P653" i="2"/>
  <c r="P654" i="2"/>
  <c r="P655" i="2"/>
  <c r="P663" i="2"/>
  <c r="P664" i="2"/>
  <c r="P665" i="2"/>
  <c r="P666" i="2"/>
  <c r="P667" i="2"/>
  <c r="P675" i="2"/>
  <c r="P676" i="2"/>
  <c r="P677" i="2"/>
  <c r="P678" i="2"/>
  <c r="P679" i="2"/>
  <c r="P686" i="2"/>
  <c r="P687" i="2"/>
  <c r="P688" i="2"/>
  <c r="P690" i="2"/>
  <c r="P694" i="2"/>
  <c r="P695" i="2"/>
  <c r="P698" i="2"/>
  <c r="P699" i="2"/>
  <c r="P700" i="2"/>
  <c r="P701" i="2"/>
  <c r="P702" i="2"/>
  <c r="P703" i="2"/>
  <c r="P711" i="2"/>
  <c r="P712" i="2"/>
  <c r="P713" i="2"/>
  <c r="P714" i="2"/>
  <c r="P715" i="2"/>
  <c r="P717" i="2"/>
  <c r="P718" i="2"/>
  <c r="P723" i="2"/>
  <c r="P724" i="2"/>
  <c r="P725" i="2"/>
  <c r="P726" i="2"/>
  <c r="P727" i="2"/>
  <c r="P734" i="2"/>
  <c r="P735" i="2"/>
  <c r="P736" i="2"/>
  <c r="P738" i="2"/>
  <c r="P746" i="2"/>
  <c r="P747" i="2"/>
  <c r="P748" i="2"/>
  <c r="P749" i="2"/>
  <c r="P750" i="2"/>
  <c r="P751" i="2"/>
  <c r="P759" i="2"/>
  <c r="P760" i="2"/>
  <c r="P761" i="2"/>
  <c r="P762" i="2"/>
  <c r="P763" i="2"/>
  <c r="P771" i="2"/>
  <c r="P772" i="2"/>
  <c r="P773" i="2"/>
  <c r="P774" i="2"/>
  <c r="P775" i="2"/>
  <c r="P777" i="2"/>
  <c r="P778" i="2"/>
  <c r="P782" i="2"/>
  <c r="P783" i="2"/>
  <c r="P784" i="2"/>
  <c r="P786" i="2"/>
  <c r="P794" i="2"/>
  <c r="P795" i="2"/>
  <c r="P796" i="2"/>
  <c r="P797" i="2"/>
  <c r="P798" i="2"/>
  <c r="P799" i="2"/>
  <c r="P807" i="2"/>
  <c r="P808" i="2"/>
  <c r="P809" i="2"/>
  <c r="P810" i="2"/>
  <c r="P811" i="2"/>
  <c r="P819" i="2"/>
  <c r="P820" i="2"/>
  <c r="P821" i="2"/>
  <c r="P822" i="2"/>
  <c r="P823" i="2"/>
  <c r="P830" i="2"/>
  <c r="P831" i="2"/>
  <c r="P832" i="2"/>
  <c r="P834" i="2"/>
  <c r="P837" i="2"/>
  <c r="P838" i="2"/>
  <c r="P839" i="2"/>
  <c r="P842" i="2"/>
  <c r="P843" i="2"/>
  <c r="P844" i="2"/>
  <c r="P845" i="2"/>
  <c r="P846" i="2"/>
  <c r="P847" i="2"/>
  <c r="P854" i="2"/>
  <c r="P855" i="2"/>
  <c r="P856" i="2"/>
  <c r="P857" i="2"/>
  <c r="P858" i="2"/>
  <c r="P859" i="2"/>
  <c r="P861" i="2"/>
  <c r="P868" i="2"/>
  <c r="P869" i="2"/>
  <c r="P870" i="2"/>
  <c r="P871" i="2"/>
  <c r="P878" i="2"/>
  <c r="P879" i="2"/>
  <c r="P880" i="2"/>
  <c r="P882" i="2"/>
  <c r="P890" i="2"/>
  <c r="P891" i="2"/>
  <c r="P892" i="2"/>
  <c r="P893" i="2"/>
  <c r="P894" i="2"/>
  <c r="P895" i="2"/>
  <c r="P902" i="2"/>
  <c r="P903" i="2"/>
  <c r="P904" i="2"/>
  <c r="P905" i="2"/>
  <c r="P906" i="2"/>
  <c r="P907" i="2"/>
  <c r="P916" i="2"/>
  <c r="P917" i="2"/>
  <c r="P918" i="2"/>
  <c r="P919" i="2"/>
  <c r="P921" i="2"/>
  <c r="P926" i="2"/>
  <c r="P927" i="2"/>
  <c r="P928" i="2"/>
  <c r="P930" i="2"/>
  <c r="P938" i="2"/>
  <c r="P939" i="2"/>
  <c r="P940" i="2"/>
  <c r="P941" i="2"/>
  <c r="P942" i="2"/>
  <c r="P943" i="2"/>
  <c r="P950" i="2"/>
  <c r="P951" i="2"/>
  <c r="P952" i="2"/>
  <c r="P953" i="2"/>
  <c r="P954" i="2"/>
  <c r="P955" i="2"/>
  <c r="P957" i="2"/>
  <c r="P958" i="2"/>
  <c r="P963" i="2"/>
  <c r="P964" i="2"/>
  <c r="P965" i="2"/>
  <c r="P966" i="2"/>
  <c r="P967" i="2"/>
  <c r="P974" i="2"/>
  <c r="P975" i="2"/>
  <c r="P976" i="2"/>
  <c r="P978" i="2"/>
  <c r="P986" i="2"/>
  <c r="P987" i="2"/>
  <c r="P988" i="2"/>
  <c r="P989" i="2"/>
  <c r="P990" i="2"/>
  <c r="P991" i="2"/>
  <c r="P994" i="2"/>
  <c r="P998" i="2"/>
  <c r="R17" i="2"/>
  <c r="A16" i="16"/>
  <c r="A6" i="15"/>
  <c r="B10" i="10"/>
  <c r="A9" i="16"/>
  <c r="B9" i="9"/>
  <c r="C7" i="16" l="1"/>
  <c r="R6" i="2"/>
  <c r="R9" i="2"/>
  <c r="R12"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8537D7-C713-416C-83AA-B566BB964B51}"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s>
</file>

<file path=xl/sharedStrings.xml><?xml version="1.0" encoding="utf-8"?>
<sst xmlns="http://schemas.openxmlformats.org/spreadsheetml/2006/main" count="7061" uniqueCount="78">
  <si>
    <t>Product_ID</t>
  </si>
  <si>
    <t>Sale_Date</t>
  </si>
  <si>
    <t>Sales_Rep</t>
  </si>
  <si>
    <t>Region</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</si>
  <si>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</si>
  <si>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</si>
  <si>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</si>
  <si>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</si>
  <si>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</si>
  <si>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</si>
  <si>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</si>
  <si>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</si>
  <si>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</si>
  <si>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</si>
  <si>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</si>
  <si>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</si>
  <si>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</si>
  <si>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</si>
  <si>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</si>
  <si>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</si>
  <si>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</si>
  <si>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</si>
  <si>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</si>
  <si>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</si>
  <si>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</si>
  <si>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</si>
  <si>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</si>
  <si>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</si>
  <si>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</si>
  <si>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</si>
  <si>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</si>
  <si>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</si>
  <si>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</si>
  <si>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</si>
  <si>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</si>
  <si>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</si>
  <si>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</si>
  <si>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</si>
  <si>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</si>
  <si>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</si>
  <si>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</si>
  <si>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</si>
  <si>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</si>
  <si>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</si>
  <si>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</si>
  <si>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</si>
  <si>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</si>
  <si>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</si>
  <si>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</si>
  <si>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</si>
  <si>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</si>
  <si>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</si>
  <si>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</si>
  <si>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Row Labels</t>
  </si>
  <si>
    <t>Grand Total</t>
  </si>
  <si>
    <t>Unit - cost</t>
  </si>
  <si>
    <t>Sum of Quantity_Sold</t>
  </si>
  <si>
    <t>Apr</t>
  </si>
  <si>
    <t>Total Sales</t>
  </si>
  <si>
    <t>Total Profit</t>
  </si>
  <si>
    <t>Profit</t>
  </si>
  <si>
    <t xml:space="preserve">Revenue </t>
  </si>
  <si>
    <t>Total Revenue</t>
  </si>
  <si>
    <t>Profit Margin</t>
  </si>
  <si>
    <t xml:space="preserve">Sum of Revenue </t>
  </si>
  <si>
    <t>Sum of Profit</t>
  </si>
  <si>
    <t>Total Quantity Sold</t>
  </si>
  <si>
    <t>Aug</t>
  </si>
  <si>
    <t>May</t>
  </si>
  <si>
    <t>Jan</t>
  </si>
  <si>
    <t>Feb</t>
  </si>
  <si>
    <t>Mar</t>
  </si>
  <si>
    <t>Jun</t>
  </si>
  <si>
    <t>Jul</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</si>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</sst>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10" fontId="0" fillId="0" borderId="0" xfId="0" applyNumberFormat="1"/>
    <xf numFmtId="0"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font>
        <b/>
        <color theme="1"/>
      </font>
      <fill>
        <patternFill>
          <bgColor theme="4" tint="0.59996337778862885"/>
        </patternFill>
      </fill>
      <border>
        <bottom style="thin">
          <color theme="4"/>
        </bottom>
        <vertical/>
        <horizontal/>
      </border>
    </dxf>
    <dxf>
      <font>
        <color theme="1"/>
      </font>
      <fill>
        <patternFill>
          <bgColor theme="4" tint="0.59996337778862885"/>
        </patternFill>
      </fill>
      <border diagonalUp="0" diagonalDown="1">
        <left style="medium">
          <color theme="1"/>
        </left>
        <right style="medium">
          <color theme="1"/>
        </right>
        <top style="medium">
          <color theme="1"/>
        </top>
        <bottom style="medium">
          <color theme="1"/>
        </bottom>
        <diagonal style="medium">
          <color theme="1"/>
        </diagonal>
        <vertical/>
        <horizontal/>
      </border>
    </dxf>
    <dxf>
      <fill>
        <patternFill>
          <bgColor theme="4" tint="0.59996337778862885"/>
        </patternFill>
      </fill>
    </dxf>
    <dxf>
      <fill>
        <patternFill>
          <bgColor theme="4" tint="0.59996337778862885"/>
        </patternFill>
      </fill>
    </dxf>
  </dxfs>
  <tableStyles count="3" defaultTableStyle="TableStyleMedium2" defaultPivotStyle="PivotStyleLight16">
    <tableStyle name="Invisible" pivot="0" table="0" count="0" xr9:uid="{323EC8AE-E301-4007-9BD9-691BDD3E0698}"/>
    <tableStyle name="MY Slicer" pivot="0" table="0" count="7" xr9:uid="{BE548F60-51DA-46E7-BB18-E36144CBDC74}">
      <tableStyleElement type="wholeTable" dxfId="14"/>
      <tableStyleElement type="headerRow" dxfId="13"/>
    </tableStyle>
    <tableStyle name="Style" pivot="0" table="0" count="6" xr9:uid="{8082188D-DBBA-48D1-B56C-E96373A0A7AA}">
      <tableStyleElement type="wholeTable" dxfId="12"/>
      <tableStyleElement type="headerRow" dxfId="11"/>
    </tableStyle>
  </tableStyles>
  <extLst>
    <ext xmlns:x14="http://schemas.microsoft.com/office/spreadsheetml/2009/9/main" uri="{46F421CA-312F-682f-3DD2-61675219B42D}">
      <x14:dxfs count="9">
        <dxf>
          <font>
            <color rgb="FF828282"/>
          </font>
          <fill>
            <patternFill patternType="solid">
              <fgColor theme="4" tint="0.79989013336588644"/>
              <bgColor theme="9" tint="0.3999450666829432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8"/>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8" tint="0.59996337778862885"/>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4" tint="0.59996337778862885"/>
            </patternFill>
          </fill>
          <border>
            <left style="thin">
              <color rgb="FFCCCCCC"/>
            </left>
            <right style="thin">
              <color rgb="FFCCCCCC"/>
            </right>
            <top style="thin">
              <color rgb="FFCCCCCC"/>
            </top>
            <bottom style="thin">
              <color rgb="FFCCCCCC"/>
            </bottom>
            <vertical/>
            <horizontal/>
          </border>
        </dxf>
        <dxf>
          <fill>
            <patternFill>
              <bgColor theme="3" tint="0.39994506668294322"/>
            </patternFill>
          </fill>
        </dxf>
        <dxf>
          <fill>
            <patternFill>
              <bgColor theme="7" tint="0.59996337778862885"/>
            </patternFill>
          </fill>
        </dxf>
        <dxf>
          <fill>
            <patternFill>
              <bgColor theme="9" tint="0.39994506668294322"/>
            </patternFill>
          </fill>
        </dxf>
        <dxf>
          <fill>
            <patternFill>
              <bgColor theme="9" tint="0.39994506668294322"/>
            </patternFill>
          </fill>
        </dxf>
        <dxf>
          <fill>
            <patternFill>
              <bgColor theme="4" tint="0.39994506668294322"/>
            </patternFill>
          </fill>
        </dxf>
      </x14:dxfs>
    </ext>
    <ext xmlns:x14="http://schemas.microsoft.com/office/spreadsheetml/2009/9/main" uri="{EB79DEF2-80B8-43e5-95BD-54CBDDF9020C}">
      <x14:slicerStyles defaultSlicerStyle="SlicerStyleLight1">
        <x14:slicerStyle name="MY Slicer">
          <x14:slicerStyleElements>
            <x14:slicerStyleElement type="selectedItemWithData" dxfId="8"/>
            <x14:slicerStyleElement type="selectedItemWithNoData" dxfId="7"/>
            <x14:slicerStyleElement type="hoveredUnselectedItemWithData" dxfId="6"/>
            <x14:slicerStyleElement type="hoveredSelectedItemWithData" dxfId="5"/>
            <x14:slicerStyleElement type="hoveredSelectedItemWithNoData" dxfId="4"/>
          </x14:slicerStyleElements>
        </x14:slicerStyle>
        <x14:slicerStyle name="Style">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[Sales_Dashboard_Project.xlsx]Sales by months!PivotTable9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months'!$B$3</c:f>
              <c:strCache>
                <c:ptCount val="1"/>
                <c:pt idx="0">
                  <c:v>Total</c:v>
                </c:pt>
              </c:strCache>
            </c:strRef>
          </c:tx>
          <c:spPr>
            <a:solidFill>
              <a:schemeClr val="accent1"/>
            </a:solidFill>
            <a:ln>
              <a:noFill/>
            </a:ln>
            <a:effectLst/>
          </c:spPr>
          <c:invertIfNegative val="0"/>
          <c:cat>
            <c:strRef>
              <c:f>'Sales by months'!$A$4:$A$16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months'!$B$4:$B$16</c:f>
              <c:numCache>
                <c:formatCode>General</c:formatCode>
                <c:ptCount val="12"/>
                <c:pt idx="0">
                  <c:v>7427821.049999997</c:v>
                </c:pt>
                <c:pt idx="1">
                  <c:v>5627477.4499999993</c:v>
                </c:pt>
                <c:pt idx="2">
                  <c:v>6008259.4100000039</c:v>
                </c:pt>
                <c:pt idx="3">
                  <c:v>5468497.620000002</c:v>
                </c:pt>
                <c:pt idx="4">
                  <c:v>5800626.5099999979</c:v>
                </c:pt>
                <c:pt idx="5">
                  <c:v>6142561.2300000004</c:v>
                </c:pt>
                <c:pt idx="6">
                  <c:v>4751432.4200000009</c:v>
                </c:pt>
                <c:pt idx="7">
                  <c:v>6716190.6099999985</c:v>
                </c:pt>
                <c:pt idx="8">
                  <c:v>4557015.58</c:v>
                </c:pt>
                <c:pt idx="9">
                  <c:v>6560606.3899999978</c:v>
                </c:pt>
                <c:pt idx="10">
                  <c:v>4958930.1899999967</c:v>
                </c:pt>
                <c:pt idx="11">
                  <c:v>6250242.79</c:v>
                </c:pt>
              </c:numCache>
            </c:numRef>
          </c:val>
          <c:extLst>
            <c:ext xmlns:c16="http://schemas.microsoft.com/office/drawing/2014/chart" uri="{C3380CC4-5D6E-409C-BE32-E72D297353CC}">
              <c16:uniqueId val="{00000000-9A0B-4DB3-904F-1CBC65C1D936}"/>
            </c:ext>
          </c:extLst>
        </c:ser>
        <c:dLbls>
          <c:showLegendKey val="0"/>
          <c:showVal val="0"/>
          <c:showCatName val="0"/>
          <c:showSerName val="0"/>
          <c:showPercent val="0"/>
          <c:showBubbleSize val="0"/>
        </c:dLbls>
        <c:gapWidth val="150"/>
        <c:axId val="186818080"/>
        <c:axId val="186818560"/>
      </c:barChart>
      <c:catAx>
        <c:axId val="18681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18560"/>
        <c:crosses val="autoZero"/>
        <c:auto val="1"/>
        <c:lblAlgn val="ctr"/>
        <c:lblOffset val="100"/>
        <c:noMultiLvlLbl val="0"/>
      </c:catAx>
      <c:valAx>
        <c:axId val="186818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180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[Sales_Dashboard_Project.xlsx]Sales by Region!PivotTable2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West</c:v>
                </c:pt>
                <c:pt idx="1">
                  <c:v>South</c:v>
                </c:pt>
                <c:pt idx="2">
                  <c:v>North</c:v>
                </c:pt>
                <c:pt idx="3">
                  <c:v>East</c:v>
                </c:pt>
              </c:strCache>
            </c:strRef>
          </c:cat>
          <c:val>
            <c:numRef>
              <c:f>'Sales by Region'!$B$4:$B$8</c:f>
              <c:numCache>
                <c:formatCode>General</c:formatCode>
                <c:ptCount val="4"/>
                <c:pt idx="0">
                  <c:v>17720053.209999993</c:v>
                </c:pt>
                <c:pt idx="1">
                  <c:v>16277030.200000016</c:v>
                </c:pt>
                <c:pt idx="2">
                  <c:v>18208403.850000013</c:v>
                </c:pt>
                <c:pt idx="3">
                  <c:v>18064173.990000006</c:v>
                </c:pt>
              </c:numCache>
            </c:numRef>
          </c:val>
          <c:extLst>
            <c:ext xmlns:c16="http://schemas.microsoft.com/office/drawing/2014/chart" uri="{C3380CC4-5D6E-409C-BE32-E72D297353CC}">
              <c16:uniqueId val="{00000000-7709-41A5-A492-027950B7E68C}"/>
            </c:ext>
          </c:extLst>
        </c:ser>
        <c:dLbls>
          <c:showLegendKey val="0"/>
          <c:showVal val="0"/>
          <c:showCatName val="0"/>
          <c:showSerName val="0"/>
          <c:showPercent val="0"/>
          <c:showBubbleSize val="0"/>
        </c:dLbls>
        <c:gapWidth val="219"/>
        <c:overlap val="-27"/>
        <c:axId val="113633007"/>
        <c:axId val="111300191"/>
      </c:barChart>
      <c:catAx>
        <c:axId val="11363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00191"/>
        <c:crosses val="autoZero"/>
        <c:auto val="1"/>
        <c:lblAlgn val="ctr"/>
        <c:lblOffset val="100"/>
        <c:noMultiLvlLbl val="0"/>
      </c:catAx>
      <c:valAx>
        <c:axId val="111300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3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[Sales_Dashboard_Project.xlsx]Sales by Sales rep!PivotTable3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Sales Repre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Sales rep'!$B$3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Sales rep'!$A$4:$A$9</c:f>
              <c:strCache>
                <c:ptCount val="5"/>
                <c:pt idx="0">
                  <c:v>Alice</c:v>
                </c:pt>
                <c:pt idx="1">
                  <c:v>Bob</c:v>
                </c:pt>
                <c:pt idx="2">
                  <c:v>Charlie</c:v>
                </c:pt>
                <c:pt idx="3">
                  <c:v>David</c:v>
                </c:pt>
                <c:pt idx="4">
                  <c:v>Eve</c:v>
                </c:pt>
              </c:strCache>
            </c:strRef>
          </c:cat>
          <c:val>
            <c:numRef>
              <c:f>'Sales by Sales rep'!$B$4:$B$9</c:f>
              <c:numCache>
                <c:formatCode>General</c:formatCode>
                <c:ptCount val="5"/>
                <c:pt idx="0">
                  <c:v>13356214.649999999</c:v>
                </c:pt>
                <c:pt idx="1">
                  <c:v>13707091.220000016</c:v>
                </c:pt>
                <c:pt idx="2">
                  <c:v>11552249.049999993</c:v>
                </c:pt>
                <c:pt idx="3">
                  <c:v>16382356.890000012</c:v>
                </c:pt>
                <c:pt idx="4">
                  <c:v>15271749.440000003</c:v>
                </c:pt>
              </c:numCache>
            </c:numRef>
          </c:val>
          <c:extLst>
            <c:ext xmlns:c16="http://schemas.microsoft.com/office/drawing/2014/chart" uri="{C3380CC4-5D6E-409C-BE32-E72D297353CC}">
              <c16:uniqueId val="{00000000-236D-4FA1-9F61-CDD13BAE1988}"/>
            </c:ext>
          </c:extLst>
        </c:ser>
        <c:dLbls>
          <c:dLblPos val="inEnd"/>
          <c:showLegendKey val="0"/>
          <c:showVal val="1"/>
          <c:showCatName val="0"/>
          <c:showSerName val="0"/>
          <c:showPercent val="0"/>
          <c:showBubbleSize val="0"/>
        </c:dLbls>
        <c:gapWidth val="182"/>
        <c:axId val="1724185407"/>
        <c:axId val="1724173887"/>
      </c:barChart>
      <c:catAx>
        <c:axId val="1724185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173887"/>
        <c:crosses val="autoZero"/>
        <c:auto val="1"/>
        <c:lblAlgn val="ctr"/>
        <c:lblOffset val="100"/>
        <c:noMultiLvlLbl val="0"/>
      </c:catAx>
      <c:valAx>
        <c:axId val="1724173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18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[Sales_Dashboard_Project.xlsx]Sales by prod cat!PivotTable13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'Sales by prod cat'!$C$5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54-497D-9F12-6AECE2BB9C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54-497D-9F12-6AECE2BB9C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54-497D-9F12-6AECE2BB9C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254-497D-9F12-6AECE2BB9C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prod cat'!$B$6:$B$10</c:f>
              <c:strCache>
                <c:ptCount val="4"/>
                <c:pt idx="0">
                  <c:v>Clothing</c:v>
                </c:pt>
                <c:pt idx="1">
                  <c:v>Electronics</c:v>
                </c:pt>
                <c:pt idx="2">
                  <c:v>Food</c:v>
                </c:pt>
                <c:pt idx="3">
                  <c:v>Furniture</c:v>
                </c:pt>
              </c:strCache>
            </c:strRef>
          </c:cat>
          <c:val>
            <c:numRef>
              <c:f>'Sales by prod cat'!$C$6:$C$10</c:f>
              <c:numCache>
                <c:formatCode>General</c:formatCode>
                <c:ptCount val="4"/>
                <c:pt idx="0">
                  <c:v>19281196.969999995</c:v>
                </c:pt>
                <c:pt idx="1">
                  <c:v>17529525.130000006</c:v>
                </c:pt>
                <c:pt idx="2">
                  <c:v>15128658.589999998</c:v>
                </c:pt>
                <c:pt idx="3">
                  <c:v>18330280.560000006</c:v>
                </c:pt>
              </c:numCache>
            </c:numRef>
          </c:val>
          <c:extLst>
            <c:ext xmlns:c16="http://schemas.microsoft.com/office/drawing/2014/chart" uri="{C3380CC4-5D6E-409C-BE32-E72D297353CC}">
              <c16:uniqueId val="{00000008-36FA-4719-9DDE-DFBBB6E99D1A}"/>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[Sales_Dashboard_Project.xlsx]channel performance!PivotTable5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Channel</a:t>
            </a:r>
            <a:r>
              <a:rPr lang="en-US" b="1" baseline="0"/>
              <a: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'channel performance'!$B$3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'channel performance'!$A$4:$A$6</c:f>
              <c:strCache>
                <c:ptCount val="2"/>
                <c:pt idx="0">
                  <c:v>Online</c:v>
                </c:pt>
                <c:pt idx="1">
                  <c:v>Retail</c:v>
                </c:pt>
              </c:strCache>
            </c:strRef>
          </c:cat>
          <c:val>
            <c:numRef>
              <c:f>'channel performance'!$B$4:$B$6</c:f>
              <c:numCache>
                <c:formatCode>General</c:formatCode>
                <c:ptCount val="2"/>
                <c:pt idx="0">
                  <c:v>35692654.800000027</c:v>
                </c:pt>
                <c:pt idx="1">
                  <c:v>34577006.449999966</c:v>
                </c:pt>
              </c:numCache>
            </c:numRef>
          </c:val>
          <c:extLst>
            <c:ext xmlns:c16="http://schemas.microsoft.com/office/drawing/2014/chart" uri="{C3380CC4-5D6E-409C-BE32-E72D297353CC}">
              <c16:uniqueId val="{00000000-13E7-44D3-86EF-A1785BEE8457}"/>
            </c:ext>
          </c:extLst>
        </c:ser>
        <c:dLbls>
          <c:dLblPos val="outEnd"/>
          <c:showLegendKey val="0"/>
          <c:showVal val="1"/>
          <c:showCatName val="0"/>
          <c:showSerName val="0"/>
          <c:showPercent val="0"/>
          <c:showBubbleSize val="0"/>
        </c:dLbls>
        <c:gapWidth val="219"/>
        <c:overlap val="-27"/>
        <c:axId val="1724199807"/>
        <c:axId val="1724200287"/>
      </c:barChart>
      <c:catAx>
        <c:axId val="172419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4200287"/>
        <c:crosses val="autoZero"/>
        <c:auto val="1"/>
        <c:lblAlgn val="ctr"/>
        <c:lblOffset val="100"/>
        <c:noMultiLvlLbl val="0"/>
      </c:catAx>
      <c:valAx>
        <c:axId val="1724200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419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[Sales_Dashboard_Project.xlsx]payment method!PivotTable6</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Payment Method</a:t>
            </a:r>
          </a:p>
        </c:rich>
      </c:tx>
      <c:layout>
        <c:manualLayout>
          <c:xMode val="edge"/>
          <c:yMode val="edge"/>
          <c:x val="0.16953706679522201"/>
          <c:y val="3.703721817381523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9.7851049868766402E-2"/>
          <c:y val="0.19735673665791775"/>
          <c:w val="0.58548127912582348"/>
          <c:h val="0.71275981806621991"/>
        </c:manualLayout>
      </c:layout>
      <c:doughnutChart>
        <c:varyColors val="1"/>
        <c:ser>
          <c:idx val="0"/>
          <c:order val="0"/>
          <c:tx>
            <c:strRef>
              <c:f>'payment method'!$B$3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C2-494C-B888-80F0A07725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C2-494C-B888-80F0A07725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C2-494C-B888-80F0A07725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method'!$A$4:$A$7</c:f>
              <c:strCache>
                <c:ptCount val="3"/>
                <c:pt idx="0">
                  <c:v>Bank Transfer</c:v>
                </c:pt>
                <c:pt idx="1">
                  <c:v>Cash</c:v>
                </c:pt>
                <c:pt idx="2">
                  <c:v>Credit Card</c:v>
                </c:pt>
              </c:strCache>
            </c:strRef>
          </c:cat>
          <c:val>
            <c:numRef>
              <c:f>'payment method'!$B$4:$B$7</c:f>
              <c:numCache>
                <c:formatCode>General</c:formatCode>
                <c:ptCount val="3"/>
                <c:pt idx="0">
                  <c:v>24547022.100000013</c:v>
                </c:pt>
                <c:pt idx="1">
                  <c:v>22177284.430000018</c:v>
                </c:pt>
                <c:pt idx="2">
                  <c:v>23545354.719999995</c:v>
                </c:pt>
              </c:numCache>
            </c:numRef>
          </c:val>
          <c:extLst>
            <c:ext xmlns:c16="http://schemas.microsoft.com/office/drawing/2014/chart" uri="{C3380CC4-5D6E-409C-BE32-E72D297353CC}">
              <c16:uniqueId val="{00000006-7B56-4CB7-8BC3-D0A67BADA9D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5315764100916"/>
          <c:y val="0.35524205307669882"/>
          <c:w val="0.2876774331779956"/>
          <c:h val="0.2620359955005624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[Sales_Dashboard_Project.xlsx]Categorywise Sales!PivotTable7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'Categorywise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'Categorywise Sales'!$A$4:$A$8</c:f>
              <c:strCache>
                <c:ptCount val="4"/>
                <c:pt idx="0">
                  <c:v>Clothing</c:v>
                </c:pt>
                <c:pt idx="1">
                  <c:v>Electronics</c:v>
                </c:pt>
                <c:pt idx="2">
                  <c:v>Food</c:v>
                </c:pt>
                <c:pt idx="3">
                  <c:v>Furniture</c:v>
                </c:pt>
              </c:strCache>
            </c:strRef>
          </c:cat>
          <c:val>
            <c:numRef>
              <c:f>'Categorywise Sales'!$B$4:$B$8</c:f>
              <c:numCache>
                <c:formatCode>General</c:formatCode>
                <c:ptCount val="4"/>
                <c:pt idx="0">
                  <c:v>19281196.969999995</c:v>
                </c:pt>
                <c:pt idx="1">
                  <c:v>17529525.130000006</c:v>
                </c:pt>
                <c:pt idx="2">
                  <c:v>15128658.589999998</c:v>
                </c:pt>
                <c:pt idx="3">
                  <c:v>18330280.560000006</c:v>
                </c:pt>
              </c:numCache>
            </c:numRef>
          </c:val>
          <c:extLst>
            <c:ext xmlns:c16="http://schemas.microsoft.com/office/drawing/2014/chart" uri="{C3380CC4-5D6E-409C-BE32-E72D297353CC}">
              <c16:uniqueId val="{00000000-0FA4-4528-AB6A-EF205D87A77A}"/>
            </c:ext>
          </c:extLst>
        </c:ser>
        <c:dLbls>
          <c:dLblPos val="outEnd"/>
          <c:showLegendKey val="0"/>
          <c:showVal val="1"/>
          <c:showCatName val="0"/>
          <c:showSerName val="0"/>
          <c:showPercent val="0"/>
          <c:showBubbleSize val="0"/>
        </c:dLbls>
        <c:gapWidth val="219"/>
        <c:overlap val="-27"/>
        <c:axId val="1807369535"/>
        <c:axId val="1807380575"/>
      </c:barChart>
      <c:catAx>
        <c:axId val="180736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380575"/>
        <c:crosses val="autoZero"/>
        <c:auto val="1"/>
        <c:lblAlgn val="ctr"/>
        <c:lblOffset val="100"/>
        <c:noMultiLvlLbl val="0"/>
      </c:catAx>
      <c:valAx>
        <c:axId val="1807380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36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[Sales_Dashboard_Project.xlsx]Sales by months!PivotTable9</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Sales By Months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months'!$B$3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months'!$A$4:$A$16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months'!$B$4:$B$16</c:f>
              <c:numCache>
                <c:formatCode>General</c:formatCode>
                <c:ptCount val="12"/>
                <c:pt idx="0">
                  <c:v>7427821.049999997</c:v>
                </c:pt>
                <c:pt idx="1">
                  <c:v>5627477.4499999993</c:v>
                </c:pt>
                <c:pt idx="2">
                  <c:v>6008259.4100000039</c:v>
                </c:pt>
                <c:pt idx="3">
                  <c:v>5468497.620000002</c:v>
                </c:pt>
                <c:pt idx="4">
                  <c:v>5800626.5099999979</c:v>
                </c:pt>
                <c:pt idx="5">
                  <c:v>6142561.2300000004</c:v>
                </c:pt>
                <c:pt idx="6">
                  <c:v>4751432.4200000009</c:v>
                </c:pt>
                <c:pt idx="7">
                  <c:v>6716190.6099999985</c:v>
                </c:pt>
                <c:pt idx="8">
                  <c:v>4557015.58</c:v>
                </c:pt>
                <c:pt idx="9">
                  <c:v>6560606.3899999978</c:v>
                </c:pt>
                <c:pt idx="10">
                  <c:v>4958930.1899999967</c:v>
                </c:pt>
                <c:pt idx="11">
                  <c:v>6250242.79</c:v>
                </c:pt>
              </c:numCache>
            </c:numRef>
          </c:val>
          <c:extLst>
            <c:ext xmlns:c16="http://schemas.microsoft.com/office/drawing/2014/chart" uri="{C3380CC4-5D6E-409C-BE32-E72D297353CC}">
              <c16:uniqueId val="{00000000-84F4-41E2-B139-D55C1B282153}"/>
            </c:ext>
          </c:extLst>
        </c:ser>
        <c:dLbls>
          <c:dLblPos val="outEnd"/>
          <c:showLegendKey val="0"/>
          <c:showVal val="1"/>
          <c:showCatName val="0"/>
          <c:showSerName val="0"/>
          <c:showPercent val="0"/>
          <c:showBubbleSize val="0"/>
        </c:dLbls>
        <c:gapWidth val="150"/>
        <c:axId val="186818080"/>
        <c:axId val="186818560"/>
      </c:barChart>
      <c:catAx>
        <c:axId val="18681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6818560"/>
        <c:crosses val="autoZero"/>
        <c:auto val="1"/>
        <c:lblAlgn val="ctr"/>
        <c:lblOffset val="100"/>
        <c:noMultiLvlLbl val="0"/>
      </c:catAx>
      <c:valAx>
        <c:axId val="186818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68180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[Sales_Dashboard_Project.xlsx]Sales by Region!PivotTable2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mn-lt"/>
              </a:rPr>
              <a:t>Sales</a:t>
            </a:r>
            <a:r>
              <a:rPr lang="en-US" b="1" baseline="0">
                <a:latin typeface="+mn-lt"/>
              </a:rPr>
              <a:t> By Region</a:t>
            </a:r>
            <a:endParaRPr lang="en-US" b="1">
              <a:latin typeface="+mn-lt"/>
            </a:endParaRPr>
          </a:p>
        </c:rich>
      </c:tx>
      <c:layout>
        <c:manualLayout>
          <c:xMode val="edge"/>
          <c:yMode val="edge"/>
          <c:x val="0.30717143251830364"/>
          <c:y val="1.99201003489021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09368471798168"/>
          <c:y val="0.18652058432934929"/>
          <c:w val="0.78864775831592482"/>
          <c:h val="0.67272066589285906"/>
        </c:manualLayout>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West</c:v>
                </c:pt>
                <c:pt idx="1">
                  <c:v>South</c:v>
                </c:pt>
                <c:pt idx="2">
                  <c:v>North</c:v>
                </c:pt>
                <c:pt idx="3">
                  <c:v>East</c:v>
                </c:pt>
              </c:strCache>
            </c:strRef>
          </c:cat>
          <c:val>
            <c:numRef>
              <c:f>'Sales by Region'!$B$4:$B$8</c:f>
              <c:numCache>
                <c:formatCode>General</c:formatCode>
                <c:ptCount val="4"/>
                <c:pt idx="0">
                  <c:v>17720053.209999993</c:v>
                </c:pt>
                <c:pt idx="1">
                  <c:v>16277030.200000016</c:v>
                </c:pt>
                <c:pt idx="2">
                  <c:v>18208403.850000013</c:v>
                </c:pt>
                <c:pt idx="3">
                  <c:v>18064173.990000006</c:v>
                </c:pt>
              </c:numCache>
            </c:numRef>
          </c:val>
          <c:extLst>
            <c:ext xmlns:c16="http://schemas.microsoft.com/office/drawing/2014/chart" uri="{C3380CC4-5D6E-409C-BE32-E72D297353CC}">
              <c16:uniqueId val="{00000000-B2E5-4AF7-BE58-4F30AD84D962}"/>
            </c:ext>
          </c:extLst>
        </c:ser>
        <c:dLbls>
          <c:dLblPos val="outEnd"/>
          <c:showLegendKey val="0"/>
          <c:showVal val="1"/>
          <c:showCatName val="0"/>
          <c:showSerName val="0"/>
          <c:showPercent val="0"/>
          <c:showBubbleSize val="0"/>
        </c:dLbls>
        <c:gapWidth val="219"/>
        <c:overlap val="-27"/>
        <c:axId val="113633007"/>
        <c:axId val="111300191"/>
      </c:barChart>
      <c:catAx>
        <c:axId val="11363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1300191"/>
        <c:crosses val="autoZero"/>
        <c:auto val="1"/>
        <c:lblAlgn val="ctr"/>
        <c:lblOffset val="100"/>
        <c:noMultiLvlLbl val="0"/>
      </c:catAx>
      <c:valAx>
        <c:axId val="111300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363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[Sales_Dashboard_Project.xlsx]Sales by Sales rep!PivotTable3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Sales </a:t>
            </a:r>
            <a:r>
              <a:rPr lang="en-IN" sz="1400" b="1" i="0" u="none" strike="noStrike" baseline="0">
                <a:latin typeface="+mn-lt"/>
              </a:rPr>
              <a:t>Representative</a:t>
            </a:r>
            <a:endParaRPr lang="en-US" b="1">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17636101938869"/>
          <c:y val="0.1850461133069829"/>
          <c:w val="0.75873061823154464"/>
          <c:h val="0.66872023902150568"/>
        </c:manualLayout>
      </c:layout>
      <c:barChart>
        <c:barDir val="bar"/>
        <c:grouping val="clustered"/>
        <c:varyColors val="0"/>
        <c:ser>
          <c:idx val="0"/>
          <c:order val="0"/>
          <c:tx>
            <c:strRef>
              <c:f>'Sales by Sales rep'!$B$3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Sales rep'!$A$4:$A$9</c:f>
              <c:strCache>
                <c:ptCount val="5"/>
                <c:pt idx="0">
                  <c:v>Alice</c:v>
                </c:pt>
                <c:pt idx="1">
                  <c:v>Bob</c:v>
                </c:pt>
                <c:pt idx="2">
                  <c:v>Charlie</c:v>
                </c:pt>
                <c:pt idx="3">
                  <c:v>David</c:v>
                </c:pt>
                <c:pt idx="4">
                  <c:v>Eve</c:v>
                </c:pt>
              </c:strCache>
            </c:strRef>
          </c:cat>
          <c:val>
            <c:numRef>
              <c:f>'Sales by Sales rep'!$B$4:$B$9</c:f>
              <c:numCache>
                <c:formatCode>General</c:formatCode>
                <c:ptCount val="5"/>
                <c:pt idx="0">
                  <c:v>13356214.649999999</c:v>
                </c:pt>
                <c:pt idx="1">
                  <c:v>13707091.220000016</c:v>
                </c:pt>
                <c:pt idx="2">
                  <c:v>11552249.049999993</c:v>
                </c:pt>
                <c:pt idx="3">
                  <c:v>16382356.890000012</c:v>
                </c:pt>
                <c:pt idx="4">
                  <c:v>15271749.440000003</c:v>
                </c:pt>
              </c:numCache>
            </c:numRef>
          </c:val>
          <c:extLst>
            <c:ext xmlns:c16="http://schemas.microsoft.com/office/drawing/2014/chart" uri="{C3380CC4-5D6E-409C-BE32-E72D297353CC}">
              <c16:uniqueId val="{00000000-686B-4BDF-AD3D-8F13F2A958C0}"/>
            </c:ext>
          </c:extLst>
        </c:ser>
        <c:dLbls>
          <c:dLblPos val="outEnd"/>
          <c:showLegendKey val="0"/>
          <c:showVal val="1"/>
          <c:showCatName val="0"/>
          <c:showSerName val="0"/>
          <c:showPercent val="0"/>
          <c:showBubbleSize val="0"/>
        </c:dLbls>
        <c:gapWidth val="182"/>
        <c:axId val="1724185407"/>
        <c:axId val="1724173887"/>
      </c:barChart>
      <c:catAx>
        <c:axId val="1724185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4173887"/>
        <c:crosses val="autoZero"/>
        <c:auto val="1"/>
        <c:lblAlgn val="ctr"/>
        <c:lblOffset val="100"/>
        <c:noMultiLvlLbl val="0"/>
      </c:catAx>
      <c:valAx>
        <c:axId val="1724173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418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[Sales_Dashboard_Project.xlsx]Sales by prod cat!PivotTable13</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Prodcut Category</a:t>
            </a:r>
          </a:p>
        </c:rich>
      </c:tx>
      <c:layout>
        <c:manualLayout>
          <c:xMode val="edge"/>
          <c:yMode val="edge"/>
          <c:x val="0.24120678825403238"/>
          <c:y val="5.128645891094599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5"/>
          </a:solidFill>
          <a:ln w="19050">
            <a:noFill/>
          </a:ln>
          <a:effectLst/>
        </c:spPr>
      </c:pivotFmt>
      <c:pivotFmt>
        <c:idx val="9"/>
        <c:spPr>
          <a:solidFill>
            <a:schemeClr val="accent5">
              <a:lumMod val="60000"/>
              <a:lumOff val="40000"/>
            </a:schemeClr>
          </a:solidFill>
          <a:ln w="19050">
            <a:noFill/>
          </a:ln>
          <a:effectLst/>
        </c:spPr>
      </c:pivotFmt>
      <c:pivotFmt>
        <c:idx val="10"/>
        <c:spPr>
          <a:solidFill>
            <a:schemeClr val="accent1">
              <a:lumMod val="40000"/>
              <a:lumOff val="60000"/>
            </a:schemeClr>
          </a:solidFill>
          <a:ln w="19050">
            <a:noFill/>
          </a:ln>
          <a:effectLst/>
        </c:spPr>
      </c:pivotFmt>
      <c:pivotFmt>
        <c:idx val="11"/>
        <c:spPr>
          <a:solidFill>
            <a:schemeClr val="accent5">
              <a:lumMod val="60000"/>
              <a:lumOff val="40000"/>
            </a:schemeClr>
          </a:solidFill>
          <a:ln w="19050">
            <a:noFill/>
          </a:ln>
          <a:effectLst/>
        </c:spPr>
      </c:pivotFmt>
      <c:pivotFmt>
        <c:idx val="12"/>
        <c:spPr>
          <a:solidFill>
            <a:schemeClr val="accent5">
              <a:lumMod val="60000"/>
              <a:lumOff val="4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5">
              <a:lumMod val="60000"/>
              <a:lumOff val="40000"/>
            </a:schemeClr>
          </a:solidFill>
          <a:ln w="19050">
            <a:noFill/>
          </a:ln>
          <a:effectLst/>
        </c:spPr>
      </c:pivotFmt>
      <c:pivotFmt>
        <c:idx val="14"/>
        <c:spPr>
          <a:solidFill>
            <a:schemeClr val="accent5">
              <a:lumMod val="40000"/>
              <a:lumOff val="60000"/>
            </a:schemeClr>
          </a:solidFill>
          <a:ln w="19050">
            <a:noFill/>
          </a:ln>
          <a:effectLst/>
        </c:spPr>
      </c:pivotFmt>
      <c:pivotFmt>
        <c:idx val="15"/>
        <c:spPr>
          <a:solidFill>
            <a:schemeClr val="accent5"/>
          </a:solidFill>
          <a:ln w="19050">
            <a:noFill/>
          </a:ln>
          <a:effectLst/>
        </c:spPr>
      </c:pivotFmt>
      <c:pivotFmt>
        <c:idx val="16"/>
        <c:spPr>
          <a:solidFill>
            <a:schemeClr val="accent1"/>
          </a:solidFill>
          <a:ln w="19050">
            <a:noFill/>
          </a:ln>
          <a:effectLst/>
        </c:spPr>
      </c:pivotFmt>
    </c:pivotFmts>
    <c:plotArea>
      <c:layout>
        <c:manualLayout>
          <c:layoutTarget val="inner"/>
          <c:xMode val="edge"/>
          <c:yMode val="edge"/>
          <c:x val="0.15116151962073784"/>
          <c:y val="0.1620798044574325"/>
          <c:w val="0.48768742437262153"/>
          <c:h val="0.75247990908352935"/>
        </c:manualLayout>
      </c:layout>
      <c:pieChart>
        <c:varyColors val="1"/>
        <c:ser>
          <c:idx val="0"/>
          <c:order val="0"/>
          <c:tx>
            <c:strRef>
              <c:f>'Sales by prod cat'!$C$5</c:f>
              <c:strCache>
                <c:ptCount val="1"/>
                <c:pt idx="0">
                  <c:v>Total</c:v>
                </c:pt>
              </c:strCache>
            </c:strRef>
          </c:tx>
          <c:spPr>
            <a:solidFill>
              <a:schemeClr val="accent5">
                <a:lumMod val="60000"/>
                <a:lumOff val="40000"/>
              </a:schemeClr>
            </a:solidFill>
            <a:ln>
              <a:noFill/>
            </a:ln>
          </c:spPr>
          <c:dPt>
            <c:idx val="0"/>
            <c:bubble3D val="0"/>
            <c:spPr>
              <a:solidFill>
                <a:schemeClr val="accent1"/>
              </a:solidFill>
              <a:ln w="19050">
                <a:noFill/>
              </a:ln>
              <a:effectLst/>
            </c:spPr>
            <c:extLst>
              <c:ext xmlns:c16="http://schemas.microsoft.com/office/drawing/2014/chart" uri="{C3380CC4-5D6E-409C-BE32-E72D297353CC}">
                <c16:uniqueId val="{0000000D-8EC0-45C5-BF0E-48C2C610FE64}"/>
              </c:ext>
            </c:extLst>
          </c:dPt>
          <c:dPt>
            <c:idx val="1"/>
            <c:bubble3D val="0"/>
            <c:spPr>
              <a:solidFill>
                <a:schemeClr val="accent5">
                  <a:lumMod val="60000"/>
                  <a:lumOff val="40000"/>
                </a:schemeClr>
              </a:solidFill>
              <a:ln w="19050">
                <a:noFill/>
              </a:ln>
              <a:effectLst/>
            </c:spPr>
            <c:extLst>
              <c:ext xmlns:c16="http://schemas.microsoft.com/office/drawing/2014/chart" uri="{C3380CC4-5D6E-409C-BE32-E72D297353CC}">
                <c16:uniqueId val="{0000000A-8EC0-45C5-BF0E-48C2C610FE64}"/>
              </c:ext>
            </c:extLst>
          </c:dPt>
          <c:dPt>
            <c:idx val="2"/>
            <c:bubble3D val="0"/>
            <c:spPr>
              <a:solidFill>
                <a:schemeClr val="accent5"/>
              </a:solidFill>
              <a:ln w="19050">
                <a:noFill/>
              </a:ln>
              <a:effectLst/>
            </c:spPr>
            <c:extLst>
              <c:ext xmlns:c16="http://schemas.microsoft.com/office/drawing/2014/chart" uri="{C3380CC4-5D6E-409C-BE32-E72D297353CC}">
                <c16:uniqueId val="{0000000C-8EC0-45C5-BF0E-48C2C610FE64}"/>
              </c:ext>
            </c:extLst>
          </c:dPt>
          <c:dPt>
            <c:idx val="3"/>
            <c:bubble3D val="0"/>
            <c:spPr>
              <a:solidFill>
                <a:schemeClr val="accent5">
                  <a:lumMod val="40000"/>
                  <a:lumOff val="60000"/>
                </a:schemeClr>
              </a:solidFill>
              <a:ln w="19050">
                <a:noFill/>
              </a:ln>
              <a:effectLst/>
            </c:spPr>
            <c:extLst>
              <c:ext xmlns:c16="http://schemas.microsoft.com/office/drawing/2014/chart" uri="{C3380CC4-5D6E-409C-BE32-E72D297353CC}">
                <c16:uniqueId val="{0000000B-8EC0-45C5-BF0E-48C2C610FE6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prod cat'!$B$6:$B$10</c:f>
              <c:strCache>
                <c:ptCount val="4"/>
                <c:pt idx="0">
                  <c:v>Clothing</c:v>
                </c:pt>
                <c:pt idx="1">
                  <c:v>Electronics</c:v>
                </c:pt>
                <c:pt idx="2">
                  <c:v>Food</c:v>
                </c:pt>
                <c:pt idx="3">
                  <c:v>Furniture</c:v>
                </c:pt>
              </c:strCache>
            </c:strRef>
          </c:cat>
          <c:val>
            <c:numRef>
              <c:f>'Sales by prod cat'!$C$6:$C$10</c:f>
              <c:numCache>
                <c:formatCode>General</c:formatCode>
                <c:ptCount val="4"/>
                <c:pt idx="0">
                  <c:v>19281196.969999995</c:v>
                </c:pt>
                <c:pt idx="1">
                  <c:v>17529525.130000006</c:v>
                </c:pt>
                <c:pt idx="2">
                  <c:v>15128658.589999998</c:v>
                </c:pt>
                <c:pt idx="3">
                  <c:v>18330280.560000006</c:v>
                </c:pt>
              </c:numCache>
            </c:numRef>
          </c:val>
          <c:extLst>
            <c:ext xmlns:c16="http://schemas.microsoft.com/office/drawing/2014/chart" uri="{C3380CC4-5D6E-409C-BE32-E72D297353CC}">
              <c16:uniqueId val="{00000008-8EC0-45C5-BF0E-48C2C610FE64}"/>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2035484594448784"/>
          <c:y val="0.25929554981000508"/>
          <c:w val="0.2006289678533773"/>
          <c:h val="0.3961295331041366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[Sales_Dashboard_Project.xlsx]channel performance!PivotTable5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Channel</a:t>
            </a:r>
            <a:r>
              <a:rPr lang="en-US" b="1" baseline="0"/>
              <a:t> Performance</a:t>
            </a:r>
          </a:p>
        </c:rich>
      </c:tx>
      <c:layout>
        <c:manualLayout>
          <c:xMode val="edge"/>
          <c:yMode val="edge"/>
          <c:x val="0.25825384406230406"/>
          <c:y val="1.29198966408268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22527786563675"/>
          <c:y val="0.23959948320413438"/>
          <c:w val="0.82110946491096637"/>
          <c:h val="0.61054090622393131"/>
        </c:manualLayout>
      </c:layout>
      <c:barChart>
        <c:barDir val="col"/>
        <c:grouping val="clustered"/>
        <c:varyColors val="0"/>
        <c:ser>
          <c:idx val="0"/>
          <c:order val="0"/>
          <c:tx>
            <c:strRef>
              <c:f>'channel performance'!$B$3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'channel performance'!$A$4:$A$6</c:f>
              <c:strCache>
                <c:ptCount val="2"/>
                <c:pt idx="0">
                  <c:v>Online</c:v>
                </c:pt>
                <c:pt idx="1">
                  <c:v>Retail</c:v>
                </c:pt>
              </c:strCache>
            </c:strRef>
          </c:cat>
          <c:val>
            <c:numRef>
              <c:f>'channel performance'!$B$4:$B$6</c:f>
              <c:numCache>
                <c:formatCode>General</c:formatCode>
                <c:ptCount val="2"/>
                <c:pt idx="0">
                  <c:v>35692654.800000027</c:v>
                </c:pt>
                <c:pt idx="1">
                  <c:v>34577006.449999966</c:v>
                </c:pt>
              </c:numCache>
            </c:numRef>
          </c:val>
          <c:extLst>
            <c:ext xmlns:c16="http://schemas.microsoft.com/office/drawing/2014/chart" uri="{C3380CC4-5D6E-409C-BE32-E72D297353CC}">
              <c16:uniqueId val="{00000000-863A-4F1D-993D-BB4320B1BF2C}"/>
            </c:ext>
          </c:extLst>
        </c:ser>
        <c:dLbls>
          <c:dLblPos val="outEnd"/>
          <c:showLegendKey val="0"/>
          <c:showVal val="1"/>
          <c:showCatName val="0"/>
          <c:showSerName val="0"/>
          <c:showPercent val="0"/>
          <c:showBubbleSize val="0"/>
        </c:dLbls>
        <c:gapWidth val="219"/>
        <c:overlap val="-27"/>
        <c:axId val="1724199807"/>
        <c:axId val="1724200287"/>
      </c:barChart>
      <c:catAx>
        <c:axId val="172419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4200287"/>
        <c:crosses val="autoZero"/>
        <c:auto val="1"/>
        <c:lblAlgn val="ctr"/>
        <c:lblOffset val="100"/>
        <c:noMultiLvlLbl val="0"/>
      </c:catAx>
      <c:valAx>
        <c:axId val="1724200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419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[Sales_Dashboard_Project.xlsx]payment method!PivotTable6</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Payment Method</a:t>
            </a:r>
          </a:p>
        </c:rich>
      </c:tx>
      <c:layout>
        <c:manualLayout>
          <c:xMode val="edge"/>
          <c:yMode val="edge"/>
          <c:x val="0.22639558114937125"/>
          <c:y val="4.4850106627296613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noFill/>
          </a:ln>
          <a:effectLst/>
        </c:spPr>
      </c:pivotFmt>
      <c:pivotFmt>
        <c:idx val="7"/>
        <c:spPr>
          <a:solidFill>
            <a:schemeClr val="accent1">
              <a:lumMod val="50000"/>
            </a:schemeClr>
          </a:solidFill>
          <a:ln w="19050">
            <a:noFill/>
          </a:ln>
          <a:effectLst/>
        </c:spPr>
        <c:dLbl>
          <c:idx val="0"/>
          <c:layout>
            <c:manualLayout>
              <c:x val="-7.8180525941720036E-2"/>
              <c:y val="-3.25520833333333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0070C0"/>
          </a:solidFill>
          <a:ln w="19050">
            <a:noFill/>
          </a:ln>
          <a:effectLst/>
        </c:spPr>
      </c:pivotFmt>
      <c:pivotFmt>
        <c:idx val="9"/>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5"/>
          </a:solidFill>
          <a:ln w="19050">
            <a:noFill/>
          </a:ln>
          <a:effectLst/>
        </c:spPr>
      </c:pivotFmt>
      <c:pivotFmt>
        <c:idx val="11"/>
        <c:spPr>
          <a:solidFill>
            <a:schemeClr val="accent1"/>
          </a:solidFill>
          <a:ln w="19050">
            <a:noFill/>
          </a:ln>
          <a:effectLst/>
        </c:spPr>
      </c:pivotFmt>
      <c:pivotFmt>
        <c:idx val="12"/>
        <c:spPr>
          <a:solidFill>
            <a:schemeClr val="accent1">
              <a:lumMod val="40000"/>
              <a:lumOff val="60000"/>
            </a:schemeClr>
          </a:solidFill>
          <a:ln w="19050">
            <a:noFill/>
          </a:ln>
          <a:effectLst/>
        </c:spPr>
        <c:dLbl>
          <c:idx val="0"/>
          <c:layout>
            <c:manualLayout>
              <c:x val="4.2643923240938165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090285356121532"/>
          <c:y val="0.15162196522309715"/>
          <c:w val="0.4316983697933281"/>
          <c:h val="0.7908849040354331"/>
        </c:manualLayout>
      </c:layout>
      <c:doughnutChart>
        <c:varyColors val="1"/>
        <c:ser>
          <c:idx val="0"/>
          <c:order val="0"/>
          <c:tx>
            <c:strRef>
              <c:f>'payment method'!$B$3</c:f>
              <c:strCache>
                <c:ptCount val="1"/>
                <c:pt idx="0">
                  <c:v>Total</c:v>
                </c:pt>
              </c:strCache>
            </c:strRef>
          </c:tx>
          <c:spPr>
            <a:solidFill>
              <a:schemeClr val="accent5">
                <a:lumMod val="60000"/>
                <a:lumOff val="40000"/>
              </a:schemeClr>
            </a:solidFill>
          </c:spPr>
          <c:dPt>
            <c:idx val="0"/>
            <c:bubble3D val="0"/>
            <c:spPr>
              <a:solidFill>
                <a:schemeClr val="accent5"/>
              </a:solidFill>
              <a:ln w="19050">
                <a:noFill/>
              </a:ln>
              <a:effectLst/>
            </c:spPr>
            <c:extLst>
              <c:ext xmlns:c16="http://schemas.microsoft.com/office/drawing/2014/chart" uri="{C3380CC4-5D6E-409C-BE32-E72D297353CC}">
                <c16:uniqueId val="{0000000B-6EED-48EB-8354-024E42517FC7}"/>
              </c:ext>
            </c:extLst>
          </c:dPt>
          <c:dPt>
            <c:idx val="1"/>
            <c:bubble3D val="0"/>
            <c:spPr>
              <a:solidFill>
                <a:schemeClr val="accent1">
                  <a:lumMod val="40000"/>
                  <a:lumOff val="60000"/>
                </a:schemeClr>
              </a:solidFill>
              <a:ln w="19050">
                <a:noFill/>
              </a:ln>
              <a:effectLst/>
            </c:spPr>
            <c:extLst>
              <c:ext xmlns:c16="http://schemas.microsoft.com/office/drawing/2014/chart" uri="{C3380CC4-5D6E-409C-BE32-E72D297353CC}">
                <c16:uniqueId val="{0000000D-6EED-48EB-8354-024E42517FC7}"/>
              </c:ext>
            </c:extLst>
          </c:dPt>
          <c:dPt>
            <c:idx val="2"/>
            <c:bubble3D val="0"/>
            <c:spPr>
              <a:solidFill>
                <a:schemeClr val="accent1"/>
              </a:solidFill>
              <a:ln w="19050">
                <a:noFill/>
              </a:ln>
              <a:effectLst/>
            </c:spPr>
            <c:extLst>
              <c:ext xmlns:c16="http://schemas.microsoft.com/office/drawing/2014/chart" uri="{C3380CC4-5D6E-409C-BE32-E72D297353CC}">
                <c16:uniqueId val="{0000000C-6EED-48EB-8354-024E42517FC7}"/>
              </c:ext>
            </c:extLst>
          </c:dPt>
          <c:dLbls>
            <c:dLbl>
              <c:idx val="1"/>
              <c:layout>
                <c:manualLayout>
                  <c:x val="4.2643923240938165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6EED-48EB-8354-024E42517FC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method'!$A$4:$A$7</c:f>
              <c:strCache>
                <c:ptCount val="3"/>
                <c:pt idx="0">
                  <c:v>Bank Transfer</c:v>
                </c:pt>
                <c:pt idx="1">
                  <c:v>Cash</c:v>
                </c:pt>
                <c:pt idx="2">
                  <c:v>Credit Card</c:v>
                </c:pt>
              </c:strCache>
            </c:strRef>
          </c:cat>
          <c:val>
            <c:numRef>
              <c:f>'payment method'!$B$4:$B$7</c:f>
              <c:numCache>
                <c:formatCode>General</c:formatCode>
                <c:ptCount val="3"/>
                <c:pt idx="0">
                  <c:v>24547022.100000013</c:v>
                </c:pt>
                <c:pt idx="1">
                  <c:v>22177284.430000018</c:v>
                </c:pt>
                <c:pt idx="2">
                  <c:v>23545354.719999995</c:v>
                </c:pt>
              </c:numCache>
            </c:numRef>
          </c:val>
          <c:extLst>
            <c:ext xmlns:c16="http://schemas.microsoft.com/office/drawing/2014/chart" uri="{C3380CC4-5D6E-409C-BE32-E72D297353CC}">
              <c16:uniqueId val="{00000006-6EED-48EB-8354-024E42517FC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5315764100916"/>
          <c:y val="0.35524205307669882"/>
          <c:w val="0.24044680982041425"/>
          <c:h val="0.3295921505905511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[Sales_Dashboard_Project.xlsx]Categorywise Sales!PivotTable7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 Total Sales by Category</a:t>
            </a:r>
          </a:p>
        </c:rich>
      </c:tx>
      <c:layout>
        <c:manualLayout>
          <c:xMode val="edge"/>
          <c:yMode val="edge"/>
          <c:x val="0.30039916885389328"/>
          <c:y val="1.96078431372549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05863743418108"/>
          <c:y val="0.24241830065359476"/>
          <c:w val="0.82272993219597546"/>
          <c:h val="0.60595903453244815"/>
        </c:manualLayout>
      </c:layout>
      <c:barChart>
        <c:barDir val="col"/>
        <c:grouping val="clustered"/>
        <c:varyColors val="0"/>
        <c:ser>
          <c:idx val="0"/>
          <c:order val="0"/>
          <c:tx>
            <c:strRef>
              <c:f>'Categorywise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'Categorywise Sales'!$A$4:$A$8</c:f>
              <c:strCache>
                <c:ptCount val="4"/>
                <c:pt idx="0">
                  <c:v>Clothing</c:v>
                </c:pt>
                <c:pt idx="1">
                  <c:v>Electronics</c:v>
                </c:pt>
                <c:pt idx="2">
                  <c:v>Food</c:v>
                </c:pt>
                <c:pt idx="3">
                  <c:v>Furniture</c:v>
                </c:pt>
              </c:strCache>
            </c:strRef>
          </c:cat>
          <c:val>
            <c:numRef>
              <c:f>'Categorywise Sales'!$B$4:$B$8</c:f>
              <c:numCache>
                <c:formatCode>General</c:formatCode>
                <c:ptCount val="4"/>
                <c:pt idx="0">
                  <c:v>19281196.969999995</c:v>
                </c:pt>
                <c:pt idx="1">
                  <c:v>17529525.130000006</c:v>
                </c:pt>
                <c:pt idx="2">
                  <c:v>15128658.589999998</c:v>
                </c:pt>
                <c:pt idx="3">
                  <c:v>18330280.560000006</c:v>
                </c:pt>
              </c:numCache>
            </c:numRef>
          </c:val>
          <c:extLst>
            <c:ext xmlns:c16="http://schemas.microsoft.com/office/drawing/2014/chart" uri="{C3380CC4-5D6E-409C-BE32-E72D297353CC}">
              <c16:uniqueId val="{00000000-0A76-4ACD-B58B-838BB087F5BA}"/>
            </c:ext>
          </c:extLst>
        </c:ser>
        <c:dLbls>
          <c:dLblPos val="outEnd"/>
          <c:showLegendKey val="0"/>
          <c:showVal val="1"/>
          <c:showCatName val="0"/>
          <c:showSerName val="0"/>
          <c:showPercent val="0"/>
          <c:showBubbleSize val="0"/>
        </c:dLbls>
        <c:gapWidth val="219"/>
        <c:overlap val="-27"/>
        <c:axId val="1807369535"/>
        <c:axId val="1807380575"/>
      </c:barChart>
      <c:catAx>
        <c:axId val="180736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07380575"/>
        <c:crosses val="autoZero"/>
        <c:auto val="1"/>
        <c:lblAlgn val="ctr"/>
        <c:lblOffset val="100"/>
        <c:noMultiLvlLbl val="0"/>
      </c:catAx>
      <c:valAx>
        <c:axId val="1807380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0736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image" Target="../media/image5.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4.png"/><Relationship Id="rId5" Type="http://schemas.openxmlformats.org/officeDocument/2006/relationships/chart" Target="../charts/chart12.xml"/><Relationship Id="rId10" Type="http://schemas.openxmlformats.org/officeDocument/2006/relationships/image" Target="../media/image3.png"/><Relationship Id="rId4" Type="http://schemas.openxmlformats.org/officeDocument/2006/relationships/chart" Target="../charts/chart11.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xdr:col>
      <xdr:colOff>461817</xdr:colOff>
      <xdr:row>5</xdr:row>
      <xdr:rowOff>130848</xdr:rowOff>
    </xdr:from>
    <xdr:to>
      <xdr:col>9</xdr:col>
      <xdr:colOff>277091</xdr:colOff>
      <xdr:row>16</xdr:row>
      <xdr:rowOff>161637</xdr:rowOff>
    </xdr:to>
    <xdr:graphicFrame macro="">
      <xdr:nvGraphicFramePr>
        <xdr:cNvPr id="12" name="Chart 11">
          <a:extLst>
            <a:ext uri="{FF2B5EF4-FFF2-40B4-BE49-F238E27FC236}">
              <a16:creationId xmlns:a16="http://schemas.microsoft.com/office/drawing/2014/main" id="{8F7BE61A-482E-4917-51D1-1AD7539C2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545330</xdr:colOff>
      <xdr:row>3</xdr:row>
      <xdr:rowOff>31096</xdr:rowOff>
    </xdr:from>
    <xdr:to>
      <xdr:col>13</xdr:col>
      <xdr:colOff>338666</xdr:colOff>
      <xdr:row>13</xdr:row>
      <xdr:rowOff>100060</xdr:rowOff>
    </xdr:to>
    <mc:AlternateContent xmlns:mc="http://schemas.openxmlformats.org/markup-compatibility/2006" xmlns:a14="http://schemas.microsoft.com/office/drawing/2010/main">
      <mc:Choice Requires="a14">
        <xdr:graphicFrame macro="">
          <xdr:nvGraphicFramePr>
            <xdr:cNvPr id="14" name="Months (Sale_Date)">
              <a:extLst>
                <a:ext uri="{FF2B5EF4-FFF2-40B4-BE49-F238E27FC236}">
                  <a16:creationId xmlns:a16="http://schemas.microsoft.com/office/drawing/2014/main" id="{F49672C9-D2C9-BC0D-307E-69C39AB5FAB2}"/>
                </a:ext>
              </a:extLst>
            </xdr:cNvPr>
            <xdr:cNvGraphicFramePr/>
          </xdr:nvGraphicFramePr>
          <xdr:xfrm>
            <a:off x="0" y="0"/>
            <a:ext cx="0" cy="0"/>
          </xdr:xfrm>
          <a:graphic>
            <a:graphicData uri="http://schemas.microsoft.com/office/drawing/2010/slicer">
              <sle:slicer xmlns:sle="http://schemas.microsoft.com/office/drawing/2010/slicer" name="Months (Sale_Date)"/>
            </a:graphicData>
          </a:graphic>
        </xdr:graphicFrame>
      </mc:Choice>
      <mc:Fallback xmlns="">
        <xdr:sp macro="" textlink="">
          <xdr:nvSpPr>
            <xdr:cNvPr id="0" name=""/>
            <xdr:cNvSpPr>
              <a:spLocks noTextEdit="1"/>
            </xdr:cNvSpPr>
          </xdr:nvSpPr>
          <xdr:spPr>
            <a:xfrm>
              <a:off x="7649633" y="585278"/>
              <a:ext cx="1617518" cy="19162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83820</xdr:colOff>
      <xdr:row>3</xdr:row>
      <xdr:rowOff>60960</xdr:rowOff>
    </xdr:from>
    <xdr:to>
      <xdr:col>10</xdr:col>
      <xdr:colOff>388620</xdr:colOff>
      <xdr:row>18</xdr:row>
      <xdr:rowOff>60960</xdr:rowOff>
    </xdr:to>
    <xdr:graphicFrame macro="">
      <xdr:nvGraphicFramePr>
        <xdr:cNvPr id="2" name="Chart 1">
          <a:extLst>
            <a:ext uri="{FF2B5EF4-FFF2-40B4-BE49-F238E27FC236}">
              <a16:creationId xmlns:a16="http://schemas.microsoft.com/office/drawing/2014/main" id="{2F371DB7-0248-CABD-18B5-BA37C7512A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396240</xdr:colOff>
      <xdr:row>3</xdr:row>
      <xdr:rowOff>167641</xdr:rowOff>
    </xdr:from>
    <xdr:to>
      <xdr:col>13</xdr:col>
      <xdr:colOff>571500</xdr:colOff>
      <xdr:row>11</xdr:row>
      <xdr:rowOff>160021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A56A540A-FDBA-CC9C-3A18-63B633831B6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100060" y="716281"/>
              <a:ext cx="139446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457200</xdr:colOff>
      <xdr:row>1</xdr:row>
      <xdr:rowOff>38100</xdr:rowOff>
    </xdr:from>
    <xdr:to>
      <xdr:col>10</xdr:col>
      <xdr:colOff>152400</xdr:colOff>
      <xdr:row>16</xdr:row>
      <xdr:rowOff>38100</xdr:rowOff>
    </xdr:to>
    <xdr:graphicFrame macro="">
      <xdr:nvGraphicFramePr>
        <xdr:cNvPr id="2" name="Chart 1">
          <a:extLst>
            <a:ext uri="{FF2B5EF4-FFF2-40B4-BE49-F238E27FC236}">
              <a16:creationId xmlns:a16="http://schemas.microsoft.com/office/drawing/2014/main" id="{787D3C8B-98C0-819D-4C00-850F12312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106680</xdr:colOff>
      <xdr:row>8</xdr:row>
      <xdr:rowOff>0</xdr:rowOff>
    </xdr:from>
    <xdr:to>
      <xdr:col>11</xdr:col>
      <xdr:colOff>411480</xdr:colOff>
      <xdr:row>23</xdr:row>
      <xdr:rowOff>0</xdr:rowOff>
    </xdr:to>
    <xdr:graphicFrame macro="">
      <xdr:nvGraphicFramePr>
        <xdr:cNvPr id="2" name="Chart 1">
          <a:extLst>
            <a:ext uri="{FF2B5EF4-FFF2-40B4-BE49-F238E27FC236}">
              <a16:creationId xmlns:a16="http://schemas.microsoft.com/office/drawing/2014/main" id="{A36F48FA-C80B-DC98-BAA6-EE76B2F4EC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563880</xdr:colOff>
      <xdr:row>0</xdr:row>
      <xdr:rowOff>152400</xdr:rowOff>
    </xdr:from>
    <xdr:to>
      <xdr:col>10</xdr:col>
      <xdr:colOff>259080</xdr:colOff>
      <xdr:row>15</xdr:row>
      <xdr:rowOff>152400</xdr:rowOff>
    </xdr:to>
    <xdr:graphicFrame macro="">
      <xdr:nvGraphicFramePr>
        <xdr:cNvPr id="2" name="Chart 1">
          <a:extLst>
            <a:ext uri="{FF2B5EF4-FFF2-40B4-BE49-F238E27FC236}">
              <a16:creationId xmlns:a16="http://schemas.microsoft.com/office/drawing/2014/main" id="{9EA5E071-6DEC-6208-66CB-030F75E458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175260</xdr:colOff>
      <xdr:row>1</xdr:row>
      <xdr:rowOff>60960</xdr:rowOff>
    </xdr:from>
    <xdr:to>
      <xdr:col>10</xdr:col>
      <xdr:colOff>114300</xdr:colOff>
      <xdr:row>14</xdr:row>
      <xdr:rowOff>137160</xdr:rowOff>
    </xdr:to>
    <xdr:graphicFrame macro="">
      <xdr:nvGraphicFramePr>
        <xdr:cNvPr id="2" name="Chart 1">
          <a:extLst>
            <a:ext uri="{FF2B5EF4-FFF2-40B4-BE49-F238E27FC236}">
              <a16:creationId xmlns:a16="http://schemas.microsoft.com/office/drawing/2014/main" id="{D766612E-51B0-6694-831B-9116354A07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662940</xdr:colOff>
      <xdr:row>0</xdr:row>
      <xdr:rowOff>160020</xdr:rowOff>
    </xdr:from>
    <xdr:to>
      <xdr:col>9</xdr:col>
      <xdr:colOff>541020</xdr:colOff>
      <xdr:row>15</xdr:row>
      <xdr:rowOff>160020</xdr:rowOff>
    </xdr:to>
    <xdr:graphicFrame macro="">
      <xdr:nvGraphicFramePr>
        <xdr:cNvPr id="2" name="Chart 1">
          <a:extLst>
            <a:ext uri="{FF2B5EF4-FFF2-40B4-BE49-F238E27FC236}">
              <a16:creationId xmlns:a16="http://schemas.microsoft.com/office/drawing/2014/main" id="{608C3DDA-EBA3-071B-890D-2F243D9E89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18</xdr:col>
      <xdr:colOff>472440</xdr:colOff>
      <xdr:row>0</xdr:row>
      <xdr:rowOff>68580</xdr:rowOff>
    </xdr:from>
    <xdr:to>
      <xdr:col>23</xdr:col>
      <xdr:colOff>137160</xdr:colOff>
      <xdr:row>5</xdr:row>
      <xdr:rowOff>0</xdr:rowOff>
    </xdr:to>
    <xdr:sp macro="" textlink="">
      <xdr:nvSpPr>
        <xdr:cNvPr id="2" name="Rectangle: Rounded Corners 1">
          <a:extLst>
            <a:ext uri="{FF2B5EF4-FFF2-40B4-BE49-F238E27FC236}">
              <a16:creationId xmlns:a16="http://schemas.microsoft.com/office/drawing/2014/main" id="{3B5B9DFF-E5A7-955A-A351-A8CC625CB22B}"/>
            </a:ext>
          </a:extLst>
        </xdr:cNvPr>
        <xdr:cNvSpPr/>
      </xdr:nvSpPr>
      <xdr:spPr>
        <a:xfrm>
          <a:off x="11445240" y="68580"/>
          <a:ext cx="2712720" cy="845820"/>
        </a:xfrm>
        <a:prstGeom prst="roundRect">
          <a:avLst/>
        </a:prstGeom>
        <a:solidFill>
          <a:schemeClr val="accent1">
            <a:lumMod val="60000"/>
            <a:lumOff val="40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chemeClr val="tx1"/>
            </a:solidFill>
          </a:endParaRPr>
        </a:p>
      </xdr:txBody>
    </xdr:sp>
    <xdr:clientData/>
  </xdr:twoCellAnchor>
  <xdr:twoCellAnchor>
    <xdr:from>
      <xdr:col>0</xdr:col>
      <xdr:colOff>30480</xdr:colOff>
      <xdr:row>0</xdr:row>
      <xdr:rowOff>68580</xdr:rowOff>
    </xdr:from>
    <xdr:to>
      <xdr:col>4</xdr:col>
      <xdr:colOff>400080</xdr:colOff>
      <xdr:row>5</xdr:row>
      <xdr:rowOff>0</xdr:rowOff>
    </xdr:to>
    <xdr:sp macro="" textlink="">
      <xdr:nvSpPr>
        <xdr:cNvPr id="6" name="Rectangle: Rounded Corners 5">
          <a:extLst>
            <a:ext uri="{FF2B5EF4-FFF2-40B4-BE49-F238E27FC236}">
              <a16:creationId xmlns:a16="http://schemas.microsoft.com/office/drawing/2014/main" id="{61E8451C-BE67-483F-A951-930D84F0AB43}"/>
            </a:ext>
          </a:extLst>
        </xdr:cNvPr>
        <xdr:cNvSpPr/>
      </xdr:nvSpPr>
      <xdr:spPr>
        <a:xfrm>
          <a:off x="30480" y="68580"/>
          <a:ext cx="2808000" cy="845820"/>
        </a:xfrm>
        <a:prstGeom prst="roundRect">
          <a:avLst/>
        </a:prstGeom>
        <a:solidFill>
          <a:schemeClr val="accent1">
            <a:lumMod val="60000"/>
            <a:lumOff val="40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99060</xdr:colOff>
      <xdr:row>0</xdr:row>
      <xdr:rowOff>76200</xdr:rowOff>
    </xdr:from>
    <xdr:to>
      <xdr:col>18</xdr:col>
      <xdr:colOff>432660</xdr:colOff>
      <xdr:row>5</xdr:row>
      <xdr:rowOff>7620</xdr:rowOff>
    </xdr:to>
    <xdr:sp macro="" textlink="">
      <xdr:nvSpPr>
        <xdr:cNvPr id="3" name="Rectangle: Rounded Corners 2">
          <a:extLst>
            <a:ext uri="{FF2B5EF4-FFF2-40B4-BE49-F238E27FC236}">
              <a16:creationId xmlns:a16="http://schemas.microsoft.com/office/drawing/2014/main" id="{43AD8268-5402-4BBD-A363-65734E730345}"/>
            </a:ext>
          </a:extLst>
        </xdr:cNvPr>
        <xdr:cNvSpPr/>
      </xdr:nvSpPr>
      <xdr:spPr>
        <a:xfrm>
          <a:off x="8633460" y="76200"/>
          <a:ext cx="2772000" cy="845820"/>
        </a:xfrm>
        <a:prstGeom prst="roundRect">
          <a:avLst/>
        </a:prstGeom>
        <a:solidFill>
          <a:schemeClr val="accent1">
            <a:lumMod val="60000"/>
            <a:lumOff val="40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Total</a:t>
          </a:r>
          <a:r>
            <a:rPr lang="en-IN" sz="2000" b="1" baseline="0">
              <a:solidFill>
                <a:schemeClr val="tx1"/>
              </a:solidFill>
            </a:rPr>
            <a:t> Quantity Sold</a:t>
          </a:r>
          <a:endParaRPr lang="en-IN" sz="2000" b="1">
            <a:solidFill>
              <a:schemeClr val="tx1"/>
            </a:solidFill>
          </a:endParaRPr>
        </a:p>
      </xdr:txBody>
    </xdr:sp>
    <xdr:clientData/>
  </xdr:twoCellAnchor>
  <xdr:twoCellAnchor>
    <xdr:from>
      <xdr:col>9</xdr:col>
      <xdr:colOff>274320</xdr:colOff>
      <xdr:row>0</xdr:row>
      <xdr:rowOff>83820</xdr:rowOff>
    </xdr:from>
    <xdr:to>
      <xdr:col>14</xdr:col>
      <xdr:colOff>34320</xdr:colOff>
      <xdr:row>5</xdr:row>
      <xdr:rowOff>15240</xdr:rowOff>
    </xdr:to>
    <xdr:sp macro="" textlink="">
      <xdr:nvSpPr>
        <xdr:cNvPr id="4" name="Rectangle: Rounded Corners 3">
          <a:extLst>
            <a:ext uri="{FF2B5EF4-FFF2-40B4-BE49-F238E27FC236}">
              <a16:creationId xmlns:a16="http://schemas.microsoft.com/office/drawing/2014/main" id="{C84F47C2-0C4B-4E43-9FAA-EEDA37C133BA}"/>
            </a:ext>
          </a:extLst>
        </xdr:cNvPr>
        <xdr:cNvSpPr/>
      </xdr:nvSpPr>
      <xdr:spPr>
        <a:xfrm>
          <a:off x="5760720" y="83820"/>
          <a:ext cx="2808000" cy="845820"/>
        </a:xfrm>
        <a:prstGeom prst="roundRect">
          <a:avLst/>
        </a:prstGeom>
        <a:solidFill>
          <a:schemeClr val="accent1">
            <a:lumMod val="60000"/>
            <a:lumOff val="40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800" b="1">
            <a:solidFill>
              <a:schemeClr val="tx1"/>
            </a:solidFill>
          </a:endParaRPr>
        </a:p>
      </xdr:txBody>
    </xdr:sp>
    <xdr:clientData/>
  </xdr:twoCellAnchor>
  <xdr:twoCellAnchor>
    <xdr:from>
      <xdr:col>4</xdr:col>
      <xdr:colOff>457200</xdr:colOff>
      <xdr:row>0</xdr:row>
      <xdr:rowOff>76200</xdr:rowOff>
    </xdr:from>
    <xdr:to>
      <xdr:col>9</xdr:col>
      <xdr:colOff>217200</xdr:colOff>
      <xdr:row>5</xdr:row>
      <xdr:rowOff>7620</xdr:rowOff>
    </xdr:to>
    <xdr:sp macro="" textlink="">
      <xdr:nvSpPr>
        <xdr:cNvPr id="5" name="Rectangle: Rounded Corners 4">
          <a:extLst>
            <a:ext uri="{FF2B5EF4-FFF2-40B4-BE49-F238E27FC236}">
              <a16:creationId xmlns:a16="http://schemas.microsoft.com/office/drawing/2014/main" id="{5B93CDE6-FE09-4D10-A7DE-D6608B6FFA5C}"/>
            </a:ext>
          </a:extLst>
        </xdr:cNvPr>
        <xdr:cNvSpPr/>
      </xdr:nvSpPr>
      <xdr:spPr>
        <a:xfrm>
          <a:off x="2895600" y="76200"/>
          <a:ext cx="2808000" cy="845820"/>
        </a:xfrm>
        <a:prstGeom prst="roundRect">
          <a:avLst/>
        </a:prstGeom>
        <a:solidFill>
          <a:schemeClr val="accent1">
            <a:lumMod val="60000"/>
            <a:lumOff val="40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b="1">
            <a:solidFill>
              <a:schemeClr val="tx1"/>
            </a:solidFill>
          </a:endParaRPr>
        </a:p>
      </xdr:txBody>
    </xdr:sp>
    <xdr:clientData/>
  </xdr:twoCellAnchor>
  <xdr:twoCellAnchor>
    <xdr:from>
      <xdr:col>17</xdr:col>
      <xdr:colOff>175260</xdr:colOff>
      <xdr:row>5</xdr:row>
      <xdr:rowOff>53340</xdr:rowOff>
    </xdr:from>
    <xdr:to>
      <xdr:col>23</xdr:col>
      <xdr:colOff>114300</xdr:colOff>
      <xdr:row>16</xdr:row>
      <xdr:rowOff>30480</xdr:rowOff>
    </xdr:to>
    <xdr:sp macro="" textlink="">
      <xdr:nvSpPr>
        <xdr:cNvPr id="11" name="Rectangle: Rounded Corners 10">
          <a:extLst>
            <a:ext uri="{FF2B5EF4-FFF2-40B4-BE49-F238E27FC236}">
              <a16:creationId xmlns:a16="http://schemas.microsoft.com/office/drawing/2014/main" id="{5325DF9D-7CC1-44A0-8EE6-14A91E9ADC5A}"/>
            </a:ext>
          </a:extLst>
        </xdr:cNvPr>
        <xdr:cNvSpPr/>
      </xdr:nvSpPr>
      <xdr:spPr>
        <a:xfrm>
          <a:off x="10538460" y="967740"/>
          <a:ext cx="3596640" cy="1988820"/>
        </a:xfrm>
        <a:prstGeom prst="roundRect">
          <a:avLst/>
        </a:prstGeom>
        <a:solidFill>
          <a:schemeClr val="accent1">
            <a:lumMod val="60000"/>
            <a:lumOff val="40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198120</xdr:colOff>
      <xdr:row>16</xdr:row>
      <xdr:rowOff>91440</xdr:rowOff>
    </xdr:from>
    <xdr:to>
      <xdr:col>23</xdr:col>
      <xdr:colOff>136920</xdr:colOff>
      <xdr:row>27</xdr:row>
      <xdr:rowOff>41760</xdr:rowOff>
    </xdr:to>
    <xdr:sp macro="" textlink="">
      <xdr:nvSpPr>
        <xdr:cNvPr id="13" name="Rectangle: Rounded Corners 12">
          <a:extLst>
            <a:ext uri="{FF2B5EF4-FFF2-40B4-BE49-F238E27FC236}">
              <a16:creationId xmlns:a16="http://schemas.microsoft.com/office/drawing/2014/main" id="{CD6AC0C8-85A5-410C-8F98-97BBD75F1F08}"/>
            </a:ext>
          </a:extLst>
        </xdr:cNvPr>
        <xdr:cNvSpPr/>
      </xdr:nvSpPr>
      <xdr:spPr>
        <a:xfrm>
          <a:off x="10561320" y="3017520"/>
          <a:ext cx="3596400" cy="1962000"/>
        </a:xfrm>
        <a:prstGeom prst="roundRect">
          <a:avLst/>
        </a:prstGeom>
        <a:solidFill>
          <a:schemeClr val="accent1">
            <a:lumMod val="60000"/>
            <a:lumOff val="40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152400</xdr:colOff>
      <xdr:row>5</xdr:row>
      <xdr:rowOff>76200</xdr:rowOff>
    </xdr:from>
    <xdr:to>
      <xdr:col>17</xdr:col>
      <xdr:colOff>91440</xdr:colOff>
      <xdr:row>16</xdr:row>
      <xdr:rowOff>53340</xdr:rowOff>
    </xdr:to>
    <xdr:sp macro="" textlink="">
      <xdr:nvSpPr>
        <xdr:cNvPr id="14" name="Rectangle: Rounded Corners 13">
          <a:extLst>
            <a:ext uri="{FF2B5EF4-FFF2-40B4-BE49-F238E27FC236}">
              <a16:creationId xmlns:a16="http://schemas.microsoft.com/office/drawing/2014/main" id="{5D37D56D-EA17-4800-8FD9-1973BFBC6A1C}"/>
            </a:ext>
          </a:extLst>
        </xdr:cNvPr>
        <xdr:cNvSpPr/>
      </xdr:nvSpPr>
      <xdr:spPr>
        <a:xfrm>
          <a:off x="6858000" y="990600"/>
          <a:ext cx="3596640" cy="1988820"/>
        </a:xfrm>
        <a:prstGeom prst="roundRect">
          <a:avLst/>
        </a:prstGeom>
        <a:solidFill>
          <a:schemeClr val="accent1">
            <a:lumMod val="60000"/>
            <a:lumOff val="40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144780</xdr:colOff>
      <xdr:row>5</xdr:row>
      <xdr:rowOff>83820</xdr:rowOff>
    </xdr:from>
    <xdr:to>
      <xdr:col>11</xdr:col>
      <xdr:colOff>83820</xdr:colOff>
      <xdr:row>16</xdr:row>
      <xdr:rowOff>38100</xdr:rowOff>
    </xdr:to>
    <xdr:sp macro="" textlink="">
      <xdr:nvSpPr>
        <xdr:cNvPr id="15" name="Rectangle: Rounded Corners 14">
          <a:extLst>
            <a:ext uri="{FF2B5EF4-FFF2-40B4-BE49-F238E27FC236}">
              <a16:creationId xmlns:a16="http://schemas.microsoft.com/office/drawing/2014/main" id="{88C45EC8-0964-40D5-933D-B98AED887414}"/>
            </a:ext>
          </a:extLst>
        </xdr:cNvPr>
        <xdr:cNvSpPr/>
      </xdr:nvSpPr>
      <xdr:spPr>
        <a:xfrm>
          <a:off x="3192780" y="998220"/>
          <a:ext cx="3596640" cy="1965960"/>
        </a:xfrm>
        <a:prstGeom prst="roundRect">
          <a:avLst/>
        </a:prstGeom>
        <a:solidFill>
          <a:schemeClr val="accent1">
            <a:lumMod val="60000"/>
            <a:lumOff val="40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144780</xdr:colOff>
      <xdr:row>16</xdr:row>
      <xdr:rowOff>106680</xdr:rowOff>
    </xdr:from>
    <xdr:to>
      <xdr:col>11</xdr:col>
      <xdr:colOff>83820</xdr:colOff>
      <xdr:row>27</xdr:row>
      <xdr:rowOff>57000</xdr:rowOff>
    </xdr:to>
    <xdr:sp macro="" textlink="">
      <xdr:nvSpPr>
        <xdr:cNvPr id="16" name="Rectangle: Rounded Corners 15">
          <a:extLst>
            <a:ext uri="{FF2B5EF4-FFF2-40B4-BE49-F238E27FC236}">
              <a16:creationId xmlns:a16="http://schemas.microsoft.com/office/drawing/2014/main" id="{1661B1E5-D233-4229-BAB2-50FE86FAA24A}"/>
            </a:ext>
          </a:extLst>
        </xdr:cNvPr>
        <xdr:cNvSpPr/>
      </xdr:nvSpPr>
      <xdr:spPr>
        <a:xfrm>
          <a:off x="3192780" y="3032760"/>
          <a:ext cx="3596640" cy="1962000"/>
        </a:xfrm>
        <a:prstGeom prst="roundRect">
          <a:avLst/>
        </a:prstGeom>
        <a:solidFill>
          <a:schemeClr val="accent1">
            <a:lumMod val="60000"/>
            <a:lumOff val="40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167640</xdr:colOff>
      <xdr:row>16</xdr:row>
      <xdr:rowOff>114300</xdr:rowOff>
    </xdr:from>
    <xdr:to>
      <xdr:col>17</xdr:col>
      <xdr:colOff>106680</xdr:colOff>
      <xdr:row>27</xdr:row>
      <xdr:rowOff>64620</xdr:rowOff>
    </xdr:to>
    <xdr:sp macro="" textlink="">
      <xdr:nvSpPr>
        <xdr:cNvPr id="17" name="Rectangle: Rounded Corners 16">
          <a:extLst>
            <a:ext uri="{FF2B5EF4-FFF2-40B4-BE49-F238E27FC236}">
              <a16:creationId xmlns:a16="http://schemas.microsoft.com/office/drawing/2014/main" id="{B9511D58-7D0B-4A77-B42B-EE23AD4EB579}"/>
            </a:ext>
          </a:extLst>
        </xdr:cNvPr>
        <xdr:cNvSpPr/>
      </xdr:nvSpPr>
      <xdr:spPr>
        <a:xfrm>
          <a:off x="6873240" y="3040380"/>
          <a:ext cx="3596640" cy="1962000"/>
        </a:xfrm>
        <a:prstGeom prst="roundRect">
          <a:avLst/>
        </a:prstGeom>
        <a:solidFill>
          <a:schemeClr val="accent1">
            <a:lumMod val="60000"/>
            <a:lumOff val="40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13</xdr:row>
      <xdr:rowOff>60960</xdr:rowOff>
    </xdr:from>
    <xdr:to>
      <xdr:col>5</xdr:col>
      <xdr:colOff>99060</xdr:colOff>
      <xdr:row>27</xdr:row>
      <xdr:rowOff>76200</xdr:rowOff>
    </xdr:to>
    <xdr:sp macro="" textlink="">
      <xdr:nvSpPr>
        <xdr:cNvPr id="18" name="Rectangle: Rounded Corners 17">
          <a:extLst>
            <a:ext uri="{FF2B5EF4-FFF2-40B4-BE49-F238E27FC236}">
              <a16:creationId xmlns:a16="http://schemas.microsoft.com/office/drawing/2014/main" id="{C13943B2-02AA-4A52-82D7-E6B2E5DE46D2}"/>
            </a:ext>
          </a:extLst>
        </xdr:cNvPr>
        <xdr:cNvSpPr/>
      </xdr:nvSpPr>
      <xdr:spPr>
        <a:xfrm>
          <a:off x="38100" y="2438400"/>
          <a:ext cx="3108960" cy="2575560"/>
        </a:xfrm>
        <a:prstGeom prst="roundRect">
          <a:avLst/>
        </a:prstGeom>
        <a:solidFill>
          <a:schemeClr val="accent1">
            <a:lumMod val="60000"/>
            <a:lumOff val="40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7620</xdr:colOff>
      <xdr:row>5</xdr:row>
      <xdr:rowOff>53340</xdr:rowOff>
    </xdr:from>
    <xdr:to>
      <xdr:col>1</xdr:col>
      <xdr:colOff>472440</xdr:colOff>
      <xdr:row>13</xdr:row>
      <xdr:rowOff>45720</xdr:rowOff>
    </xdr:to>
    <mc:AlternateContent xmlns:mc="http://schemas.openxmlformats.org/markup-compatibility/2006" xmlns:a14="http://schemas.microsoft.com/office/drawing/2010/main">
      <mc:Choice Requires="a14">
        <xdr:graphicFrame macro="">
          <xdr:nvGraphicFramePr>
            <xdr:cNvPr id="31" name="Region 1">
              <a:extLst>
                <a:ext uri="{FF2B5EF4-FFF2-40B4-BE49-F238E27FC236}">
                  <a16:creationId xmlns:a16="http://schemas.microsoft.com/office/drawing/2014/main" id="{C06FB355-CC09-4E95-A0A1-B4EBBC641F6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620" y="967740"/>
              <a:ext cx="107442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502920</xdr:colOff>
      <xdr:row>5</xdr:row>
      <xdr:rowOff>91440</xdr:rowOff>
    </xdr:from>
    <xdr:to>
      <xdr:col>5</xdr:col>
      <xdr:colOff>91440</xdr:colOff>
      <xdr:row>13</xdr:row>
      <xdr:rowOff>15240</xdr:rowOff>
    </xdr:to>
    <mc:AlternateContent xmlns:mc="http://schemas.openxmlformats.org/markup-compatibility/2006" xmlns:a14="http://schemas.microsoft.com/office/drawing/2010/main">
      <mc:Choice Requires="a14">
        <xdr:graphicFrame macro="">
          <xdr:nvGraphicFramePr>
            <xdr:cNvPr id="32" name="Months (Sale_Date) 1">
              <a:extLst>
                <a:ext uri="{FF2B5EF4-FFF2-40B4-BE49-F238E27FC236}">
                  <a16:creationId xmlns:a16="http://schemas.microsoft.com/office/drawing/2014/main" id="{C5BC294B-5491-4B99-8547-CD2A7772BDFF}"/>
                </a:ext>
              </a:extLst>
            </xdr:cNvPr>
            <xdr:cNvGraphicFramePr/>
          </xdr:nvGraphicFramePr>
          <xdr:xfrm>
            <a:off x="0" y="0"/>
            <a:ext cx="0" cy="0"/>
          </xdr:xfrm>
          <a:graphic>
            <a:graphicData uri="http://schemas.microsoft.com/office/drawing/2010/slicer">
              <sle:slicer xmlns:sle="http://schemas.microsoft.com/office/drawing/2010/slicer" name="Months (Sale_Date) 1"/>
            </a:graphicData>
          </a:graphic>
        </xdr:graphicFrame>
      </mc:Choice>
      <mc:Fallback xmlns="">
        <xdr:sp macro="" textlink="">
          <xdr:nvSpPr>
            <xdr:cNvPr id="0" name=""/>
            <xdr:cNvSpPr>
              <a:spLocks noTextEdit="1"/>
            </xdr:cNvSpPr>
          </xdr:nvSpPr>
          <xdr:spPr>
            <a:xfrm>
              <a:off x="1112520" y="1005840"/>
              <a:ext cx="202692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13</xdr:row>
      <xdr:rowOff>38100</xdr:rowOff>
    </xdr:from>
    <xdr:to>
      <xdr:col>5</xdr:col>
      <xdr:colOff>83820</xdr:colOff>
      <xdr:row>26</xdr:row>
      <xdr:rowOff>137160</xdr:rowOff>
    </xdr:to>
    <xdr:graphicFrame macro="">
      <xdr:nvGraphicFramePr>
        <xdr:cNvPr id="34" name="Chart 33">
          <a:extLst>
            <a:ext uri="{FF2B5EF4-FFF2-40B4-BE49-F238E27FC236}">
              <a16:creationId xmlns:a16="http://schemas.microsoft.com/office/drawing/2014/main" id="{F31D27DC-E24C-41D8-B277-D8D600766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160020</xdr:colOff>
      <xdr:row>5</xdr:row>
      <xdr:rowOff>83820</xdr:rowOff>
    </xdr:from>
    <xdr:to>
      <xdr:col>11</xdr:col>
      <xdr:colOff>121920</xdr:colOff>
      <xdr:row>15</xdr:row>
      <xdr:rowOff>152400</xdr:rowOff>
    </xdr:to>
    <xdr:graphicFrame macro="">
      <xdr:nvGraphicFramePr>
        <xdr:cNvPr id="35" name="Chart 34">
          <a:extLst>
            <a:ext uri="{FF2B5EF4-FFF2-40B4-BE49-F238E27FC236}">
              <a16:creationId xmlns:a16="http://schemas.microsoft.com/office/drawing/2014/main" id="{33734380-036E-4C22-8A29-78DF2D1A2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106680</xdr:colOff>
      <xdr:row>5</xdr:row>
      <xdr:rowOff>76200</xdr:rowOff>
    </xdr:from>
    <xdr:to>
      <xdr:col>17</xdr:col>
      <xdr:colOff>76200</xdr:colOff>
      <xdr:row>15</xdr:row>
      <xdr:rowOff>175260</xdr:rowOff>
    </xdr:to>
    <xdr:graphicFrame macro="">
      <xdr:nvGraphicFramePr>
        <xdr:cNvPr id="36" name="Chart 35">
          <a:extLst>
            <a:ext uri="{FF2B5EF4-FFF2-40B4-BE49-F238E27FC236}">
              <a16:creationId xmlns:a16="http://schemas.microsoft.com/office/drawing/2014/main" id="{F815482A-7671-43EB-9115-748D6B552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190500</xdr:colOff>
      <xdr:row>4</xdr:row>
      <xdr:rowOff>121920</xdr:rowOff>
    </xdr:from>
    <xdr:to>
      <xdr:col>23</xdr:col>
      <xdr:colOff>99060</xdr:colOff>
      <xdr:row>16</xdr:row>
      <xdr:rowOff>91440</xdr:rowOff>
    </xdr:to>
    <xdr:graphicFrame macro="">
      <xdr:nvGraphicFramePr>
        <xdr:cNvPr id="37" name="Chart 36">
          <a:extLst>
            <a:ext uri="{FF2B5EF4-FFF2-40B4-BE49-F238E27FC236}">
              <a16:creationId xmlns:a16="http://schemas.microsoft.com/office/drawing/2014/main" id="{9E3CF6C5-BD5B-43A9-AD02-5B07CE5E1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144780</xdr:colOff>
      <xdr:row>16</xdr:row>
      <xdr:rowOff>106680</xdr:rowOff>
    </xdr:from>
    <xdr:to>
      <xdr:col>11</xdr:col>
      <xdr:colOff>91440</xdr:colOff>
      <xdr:row>27</xdr:row>
      <xdr:rowOff>60960</xdr:rowOff>
    </xdr:to>
    <xdr:graphicFrame macro="">
      <xdr:nvGraphicFramePr>
        <xdr:cNvPr id="38" name="Chart 37">
          <a:extLst>
            <a:ext uri="{FF2B5EF4-FFF2-40B4-BE49-F238E27FC236}">
              <a16:creationId xmlns:a16="http://schemas.microsoft.com/office/drawing/2014/main" id="{C9C8FA78-ED76-4893-B9F5-A6E3CB369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167640</xdr:colOff>
      <xdr:row>16</xdr:row>
      <xdr:rowOff>114300</xdr:rowOff>
    </xdr:from>
    <xdr:to>
      <xdr:col>17</xdr:col>
      <xdr:colOff>83820</xdr:colOff>
      <xdr:row>27</xdr:row>
      <xdr:rowOff>53340</xdr:rowOff>
    </xdr:to>
    <xdr:graphicFrame macro="">
      <xdr:nvGraphicFramePr>
        <xdr:cNvPr id="39" name="Chart 38">
          <a:extLst>
            <a:ext uri="{FF2B5EF4-FFF2-40B4-BE49-F238E27FC236}">
              <a16:creationId xmlns:a16="http://schemas.microsoft.com/office/drawing/2014/main" id="{231C1574-60F7-4AE1-9185-9C573B70B8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190500</xdr:colOff>
      <xdr:row>16</xdr:row>
      <xdr:rowOff>91440</xdr:rowOff>
    </xdr:from>
    <xdr:to>
      <xdr:col>23</xdr:col>
      <xdr:colOff>190500</xdr:colOff>
      <xdr:row>27</xdr:row>
      <xdr:rowOff>22860</xdr:rowOff>
    </xdr:to>
    <xdr:graphicFrame macro="">
      <xdr:nvGraphicFramePr>
        <xdr:cNvPr id="41" name="Chart 40">
          <a:extLst>
            <a:ext uri="{FF2B5EF4-FFF2-40B4-BE49-F238E27FC236}">
              <a16:creationId xmlns:a16="http://schemas.microsoft.com/office/drawing/2014/main" id="{516B6678-4C24-40BF-859E-8C0DA1DE2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129540</xdr:colOff>
      <xdr:row>1</xdr:row>
      <xdr:rowOff>121920</xdr:rowOff>
    </xdr:from>
    <xdr:to>
      <xdr:col>9</xdr:col>
      <xdr:colOff>28971</xdr:colOff>
      <xdr:row>3</xdr:row>
      <xdr:rowOff>175260</xdr:rowOff>
    </xdr:to>
    <xdr:pic>
      <xdr:nvPicPr>
        <xdr:cNvPr id="46" name="Picture 45">
          <a:extLst>
            <a:ext uri="{FF2B5EF4-FFF2-40B4-BE49-F238E27FC236}">
              <a16:creationId xmlns:a16="http://schemas.microsoft.com/office/drawing/2014/main" id="{D11026DD-20FA-25DD-1E9B-577B421BF73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006340" y="304800"/>
          <a:ext cx="509031" cy="419100"/>
        </a:xfrm>
        <a:prstGeom prst="rect">
          <a:avLst/>
        </a:prstGeom>
      </xdr:spPr>
    </xdr:pic>
    <xdr:clientData/>
  </xdr:twoCellAnchor>
  <xdr:twoCellAnchor editAs="oneCell">
    <xdr:from>
      <xdr:col>13</xdr:col>
      <xdr:colOff>22860</xdr:colOff>
      <xdr:row>1</xdr:row>
      <xdr:rowOff>129540</xdr:rowOff>
    </xdr:from>
    <xdr:to>
      <xdr:col>13</xdr:col>
      <xdr:colOff>538697</xdr:colOff>
      <xdr:row>4</xdr:row>
      <xdr:rowOff>45720</xdr:rowOff>
    </xdr:to>
    <xdr:pic>
      <xdr:nvPicPr>
        <xdr:cNvPr id="48" name="Picture 47">
          <a:extLst>
            <a:ext uri="{FF2B5EF4-FFF2-40B4-BE49-F238E27FC236}">
              <a16:creationId xmlns:a16="http://schemas.microsoft.com/office/drawing/2014/main" id="{15C6BC31-89F2-567B-10EE-CF85E61F2C8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947660" y="312420"/>
          <a:ext cx="515837" cy="464820"/>
        </a:xfrm>
        <a:prstGeom prst="rect">
          <a:avLst/>
        </a:prstGeom>
      </xdr:spPr>
    </xdr:pic>
    <xdr:clientData/>
  </xdr:twoCellAnchor>
  <xdr:twoCellAnchor editAs="oneCell">
    <xdr:from>
      <xdr:col>17</xdr:col>
      <xdr:colOff>426720</xdr:colOff>
      <xdr:row>1</xdr:row>
      <xdr:rowOff>144782</xdr:rowOff>
    </xdr:from>
    <xdr:to>
      <xdr:col>18</xdr:col>
      <xdr:colOff>350520</xdr:colOff>
      <xdr:row>4</xdr:row>
      <xdr:rowOff>6683</xdr:rowOff>
    </xdr:to>
    <xdr:pic>
      <xdr:nvPicPr>
        <xdr:cNvPr id="50" name="Picture 49">
          <a:extLst>
            <a:ext uri="{FF2B5EF4-FFF2-40B4-BE49-F238E27FC236}">
              <a16:creationId xmlns:a16="http://schemas.microsoft.com/office/drawing/2014/main" id="{CA18D042-4EF2-86A1-7029-E3A3CB248EC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789920" y="327662"/>
          <a:ext cx="533400" cy="410541"/>
        </a:xfrm>
        <a:prstGeom prst="rect">
          <a:avLst/>
        </a:prstGeom>
      </xdr:spPr>
    </xdr:pic>
    <xdr:clientData/>
  </xdr:twoCellAnchor>
  <xdr:twoCellAnchor editAs="oneCell">
    <xdr:from>
      <xdr:col>22</xdr:col>
      <xdr:colOff>76200</xdr:colOff>
      <xdr:row>1</xdr:row>
      <xdr:rowOff>68580</xdr:rowOff>
    </xdr:from>
    <xdr:to>
      <xdr:col>22</xdr:col>
      <xdr:colOff>586740</xdr:colOff>
      <xdr:row>3</xdr:row>
      <xdr:rowOff>157874</xdr:rowOff>
    </xdr:to>
    <xdr:pic>
      <xdr:nvPicPr>
        <xdr:cNvPr id="52" name="Picture 51">
          <a:extLst>
            <a:ext uri="{FF2B5EF4-FFF2-40B4-BE49-F238E27FC236}">
              <a16:creationId xmlns:a16="http://schemas.microsoft.com/office/drawing/2014/main" id="{FB0E9142-3B61-36EC-749E-057D2151D6E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3487400" y="251460"/>
          <a:ext cx="510540" cy="455054"/>
        </a:xfrm>
        <a:prstGeom prst="rect">
          <a:avLst/>
        </a:prstGeom>
      </xdr:spPr>
    </xdr:pic>
    <xdr:clientData/>
  </xdr:twoCellAnchor>
  <xdr:twoCellAnchor editAs="oneCell">
    <xdr:from>
      <xdr:col>3</xdr:col>
      <xdr:colOff>304800</xdr:colOff>
      <xdr:row>1</xdr:row>
      <xdr:rowOff>68580</xdr:rowOff>
    </xdr:from>
    <xdr:to>
      <xdr:col>4</xdr:col>
      <xdr:colOff>310804</xdr:colOff>
      <xdr:row>3</xdr:row>
      <xdr:rowOff>175260</xdr:rowOff>
    </xdr:to>
    <xdr:pic>
      <xdr:nvPicPr>
        <xdr:cNvPr id="10" name="Picture 9">
          <a:extLst>
            <a:ext uri="{FF2B5EF4-FFF2-40B4-BE49-F238E27FC236}">
              <a16:creationId xmlns:a16="http://schemas.microsoft.com/office/drawing/2014/main" id="{F2BAE4CF-A965-32FC-D768-6EB11DE5F62C}"/>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133600" y="251460"/>
          <a:ext cx="615604" cy="472440"/>
        </a:xfrm>
        <a:prstGeom prst="rect">
          <a:avLst/>
        </a:prstGeom>
      </xdr:spPr>
    </xdr:pic>
    <xdr:clientData/>
  </xdr:twoCellAnchor>
  <xdr:twoCellAnchor>
    <xdr:from>
      <xdr:col>0</xdr:col>
      <xdr:colOff>45720</xdr:colOff>
      <xdr:row>0</xdr:row>
      <xdr:rowOff>76200</xdr:rowOff>
    </xdr:from>
    <xdr:to>
      <xdr:col>3</xdr:col>
      <xdr:colOff>441960</xdr:colOff>
      <xdr:row>4</xdr:row>
      <xdr:rowOff>160020</xdr:rowOff>
    </xdr:to>
    <xdr:sp macro="" textlink="">
      <xdr:nvSpPr>
        <xdr:cNvPr id="12" name="TextBox 11">
          <a:extLst>
            <a:ext uri="{FF2B5EF4-FFF2-40B4-BE49-F238E27FC236}">
              <a16:creationId xmlns:a16="http://schemas.microsoft.com/office/drawing/2014/main" id="{9827F582-B384-9128-35D8-8E51328EFA07}"/>
            </a:ext>
          </a:extLst>
        </xdr:cNvPr>
        <xdr:cNvSpPr txBox="1"/>
      </xdr:nvSpPr>
      <xdr:spPr>
        <a:xfrm>
          <a:off x="45720" y="76200"/>
          <a:ext cx="2225040" cy="815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000" b="1"/>
            <a:t>   Sales</a:t>
          </a:r>
          <a:r>
            <a:rPr lang="en-IN" sz="2000" b="1" baseline="0"/>
            <a:t> Dashboard</a:t>
          </a:r>
          <a:endParaRPr lang="en-IN" sz="2000" b="1"/>
        </a:p>
      </xdr:txBody>
    </xdr:sp>
    <xdr:clientData/>
  </xdr:twoCellAnchor>
  <xdr:twoCellAnchor>
    <xdr:from>
      <xdr:col>19</xdr:col>
      <xdr:colOff>45720</xdr:colOff>
      <xdr:row>0</xdr:row>
      <xdr:rowOff>121920</xdr:rowOff>
    </xdr:from>
    <xdr:to>
      <xdr:col>22</xdr:col>
      <xdr:colOff>129540</xdr:colOff>
      <xdr:row>2</xdr:row>
      <xdr:rowOff>99060</xdr:rowOff>
    </xdr:to>
    <xdr:sp macro="" textlink="">
      <xdr:nvSpPr>
        <xdr:cNvPr id="7" name="TextBox 6">
          <a:extLst>
            <a:ext uri="{FF2B5EF4-FFF2-40B4-BE49-F238E27FC236}">
              <a16:creationId xmlns:a16="http://schemas.microsoft.com/office/drawing/2014/main" id="{44D62279-5F62-B488-C5C0-A361CE548253}"/>
            </a:ext>
          </a:extLst>
        </xdr:cNvPr>
        <xdr:cNvSpPr txBox="1"/>
      </xdr:nvSpPr>
      <xdr:spPr>
        <a:xfrm>
          <a:off x="11628120" y="121920"/>
          <a:ext cx="191262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tx1"/>
              </a:solidFill>
            </a:rPr>
            <a:t>Profit</a:t>
          </a:r>
          <a:r>
            <a:rPr lang="en-IN" sz="2000" b="1" baseline="0">
              <a:solidFill>
                <a:schemeClr val="tx1"/>
              </a:solidFill>
            </a:rPr>
            <a:t> Margin </a:t>
          </a:r>
          <a:endParaRPr lang="en-IN" sz="2000" b="1">
            <a:solidFill>
              <a:schemeClr val="tx1"/>
            </a:solidFill>
          </a:endParaRPr>
        </a:p>
      </xdr:txBody>
    </xdr:sp>
    <xdr:clientData/>
  </xdr:twoCellAnchor>
  <xdr:twoCellAnchor>
    <xdr:from>
      <xdr:col>14</xdr:col>
      <xdr:colOff>487680</xdr:colOff>
      <xdr:row>2</xdr:row>
      <xdr:rowOff>60960</xdr:rowOff>
    </xdr:from>
    <xdr:to>
      <xdr:col>17</xdr:col>
      <xdr:colOff>213360</xdr:colOff>
      <xdr:row>4</xdr:row>
      <xdr:rowOff>99060</xdr:rowOff>
    </xdr:to>
    <xdr:sp macro="" textlink="'Total Quantity Sold'!A6">
      <xdr:nvSpPr>
        <xdr:cNvPr id="9" name="TextBox 8">
          <a:extLst>
            <a:ext uri="{FF2B5EF4-FFF2-40B4-BE49-F238E27FC236}">
              <a16:creationId xmlns:a16="http://schemas.microsoft.com/office/drawing/2014/main" id="{48FDBC4E-AA31-C974-ED05-4E96D78EA1DC}"/>
            </a:ext>
          </a:extLst>
        </xdr:cNvPr>
        <xdr:cNvSpPr txBox="1"/>
      </xdr:nvSpPr>
      <xdr:spPr>
        <a:xfrm>
          <a:off x="9022080" y="426720"/>
          <a:ext cx="15544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404457-31AD-49B7-9844-EA6DB068D716}" type="TxLink">
            <a:rPr lang="en-US" sz="2000" b="1" i="0" u="none" strike="noStrike">
              <a:solidFill>
                <a:srgbClr val="000000"/>
              </a:solidFill>
              <a:latin typeface="Calibri"/>
              <a:ea typeface="Calibri"/>
              <a:cs typeface="Calibri"/>
            </a:rPr>
            <a:pPr algn="ctr"/>
            <a:t>25278</a:t>
          </a:fld>
          <a:endParaRPr lang="en-IN" sz="2000" b="1"/>
        </a:p>
      </xdr:txBody>
    </xdr:sp>
    <xdr:clientData/>
  </xdr:twoCellAnchor>
  <xdr:twoCellAnchor>
    <xdr:from>
      <xdr:col>5</xdr:col>
      <xdr:colOff>297180</xdr:colOff>
      <xdr:row>2</xdr:row>
      <xdr:rowOff>22860</xdr:rowOff>
    </xdr:from>
    <xdr:to>
      <xdr:col>8</xdr:col>
      <xdr:colOff>22860</xdr:colOff>
      <xdr:row>3</xdr:row>
      <xdr:rowOff>160020</xdr:rowOff>
    </xdr:to>
    <xdr:sp macro="" textlink="'payment method'!B9">
      <xdr:nvSpPr>
        <xdr:cNvPr id="22" name="TextBox 21">
          <a:extLst>
            <a:ext uri="{FF2B5EF4-FFF2-40B4-BE49-F238E27FC236}">
              <a16:creationId xmlns:a16="http://schemas.microsoft.com/office/drawing/2014/main" id="{2F5F3A9D-E8DC-BF47-C974-367502681135}"/>
            </a:ext>
          </a:extLst>
        </xdr:cNvPr>
        <xdr:cNvSpPr txBox="1"/>
      </xdr:nvSpPr>
      <xdr:spPr>
        <a:xfrm>
          <a:off x="3345180" y="388620"/>
          <a:ext cx="15544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C0C63716-51C0-41B9-A6EA-29BCE1A51169}" type="TxLink">
            <a:rPr lang="en-US" sz="2000" b="1" i="0" u="none" strike="noStrike">
              <a:solidFill>
                <a:srgbClr val="000000"/>
              </a:solidFill>
              <a:latin typeface="Calibri"/>
              <a:ea typeface="Calibri"/>
              <a:cs typeface="Calibri"/>
            </a:rPr>
            <a:pPr algn="l"/>
            <a:t>70269661.25</a:t>
          </a:fld>
          <a:endParaRPr lang="en-IN" sz="3600" b="1"/>
        </a:p>
      </xdr:txBody>
    </xdr:sp>
    <xdr:clientData/>
  </xdr:twoCellAnchor>
  <xdr:twoCellAnchor>
    <xdr:from>
      <xdr:col>5</xdr:col>
      <xdr:colOff>144780</xdr:colOff>
      <xdr:row>0</xdr:row>
      <xdr:rowOff>91440</xdr:rowOff>
    </xdr:from>
    <xdr:to>
      <xdr:col>8</xdr:col>
      <xdr:colOff>53340</xdr:colOff>
      <xdr:row>2</xdr:row>
      <xdr:rowOff>91440</xdr:rowOff>
    </xdr:to>
    <xdr:sp macro="" textlink="">
      <xdr:nvSpPr>
        <xdr:cNvPr id="19" name="TextBox 18">
          <a:extLst>
            <a:ext uri="{FF2B5EF4-FFF2-40B4-BE49-F238E27FC236}">
              <a16:creationId xmlns:a16="http://schemas.microsoft.com/office/drawing/2014/main" id="{4FF04239-7785-677E-6B26-656AC1B6615C}"/>
            </a:ext>
          </a:extLst>
        </xdr:cNvPr>
        <xdr:cNvSpPr txBox="1"/>
      </xdr:nvSpPr>
      <xdr:spPr>
        <a:xfrm>
          <a:off x="3192780" y="91440"/>
          <a:ext cx="17373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Total</a:t>
          </a:r>
          <a:r>
            <a:rPr lang="en-IN" sz="2000" b="1" baseline="0"/>
            <a:t> Revenue</a:t>
          </a:r>
          <a:endParaRPr lang="en-IN" sz="2000" b="1"/>
        </a:p>
      </xdr:txBody>
    </xdr:sp>
    <xdr:clientData/>
  </xdr:twoCellAnchor>
  <xdr:twoCellAnchor>
    <xdr:from>
      <xdr:col>10</xdr:col>
      <xdr:colOff>167640</xdr:colOff>
      <xdr:row>0</xdr:row>
      <xdr:rowOff>106680</xdr:rowOff>
    </xdr:from>
    <xdr:to>
      <xdr:col>12</xdr:col>
      <xdr:colOff>472440</xdr:colOff>
      <xdr:row>2</xdr:row>
      <xdr:rowOff>68580</xdr:rowOff>
    </xdr:to>
    <xdr:sp macro="" textlink="">
      <xdr:nvSpPr>
        <xdr:cNvPr id="20" name="TextBox 19">
          <a:extLst>
            <a:ext uri="{FF2B5EF4-FFF2-40B4-BE49-F238E27FC236}">
              <a16:creationId xmlns:a16="http://schemas.microsoft.com/office/drawing/2014/main" id="{48C2377E-1896-EB4A-6ACA-605E2F6A1C28}"/>
            </a:ext>
          </a:extLst>
        </xdr:cNvPr>
        <xdr:cNvSpPr txBox="1"/>
      </xdr:nvSpPr>
      <xdr:spPr>
        <a:xfrm>
          <a:off x="6263640" y="106680"/>
          <a:ext cx="15240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Total</a:t>
          </a:r>
          <a:r>
            <a:rPr lang="en-IN" sz="2000" b="1" baseline="0"/>
            <a:t> Profit</a:t>
          </a:r>
        </a:p>
        <a:p>
          <a:endParaRPr lang="en-IN" sz="2000" b="1"/>
        </a:p>
      </xdr:txBody>
    </xdr:sp>
    <xdr:clientData/>
  </xdr:twoCellAnchor>
  <xdr:twoCellAnchor>
    <xdr:from>
      <xdr:col>10</xdr:col>
      <xdr:colOff>167640</xdr:colOff>
      <xdr:row>2</xdr:row>
      <xdr:rowOff>45720</xdr:rowOff>
    </xdr:from>
    <xdr:to>
      <xdr:col>12</xdr:col>
      <xdr:colOff>472440</xdr:colOff>
      <xdr:row>4</xdr:row>
      <xdr:rowOff>60960</xdr:rowOff>
    </xdr:to>
    <xdr:sp macro="" textlink="'Profit margin'!A16">
      <xdr:nvSpPr>
        <xdr:cNvPr id="23" name="TextBox 22">
          <a:extLst>
            <a:ext uri="{FF2B5EF4-FFF2-40B4-BE49-F238E27FC236}">
              <a16:creationId xmlns:a16="http://schemas.microsoft.com/office/drawing/2014/main" id="{8A53DD5E-C572-FD6B-CCAB-D6BF02F916EF}"/>
            </a:ext>
          </a:extLst>
        </xdr:cNvPr>
        <xdr:cNvSpPr txBox="1"/>
      </xdr:nvSpPr>
      <xdr:spPr>
        <a:xfrm>
          <a:off x="6263640" y="411480"/>
          <a:ext cx="15240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435715-DD47-4E35-AD76-CFAA5E3B32DB}" type="TxLink">
            <a:rPr lang="en-US" sz="2000" b="1" i="0" u="none" strike="noStrike">
              <a:solidFill>
                <a:srgbClr val="000000"/>
              </a:solidFill>
              <a:latin typeface="Calibri"/>
              <a:ea typeface="Calibri"/>
              <a:cs typeface="Calibri"/>
            </a:rPr>
            <a:pPr/>
            <a:t>6465285.06</a:t>
          </a:fld>
          <a:endParaRPr lang="en-IN" sz="2000" b="1"/>
        </a:p>
      </xdr:txBody>
    </xdr:sp>
    <xdr:clientData/>
  </xdr:twoCellAnchor>
  <xdr:twoCellAnchor>
    <xdr:from>
      <xdr:col>19</xdr:col>
      <xdr:colOff>365760</xdr:colOff>
      <xdr:row>2</xdr:row>
      <xdr:rowOff>60960</xdr:rowOff>
    </xdr:from>
    <xdr:to>
      <xdr:col>21</xdr:col>
      <xdr:colOff>502920</xdr:colOff>
      <xdr:row>4</xdr:row>
      <xdr:rowOff>0</xdr:rowOff>
    </xdr:to>
    <xdr:sp macro="" textlink="'Profit margin'!C7">
      <xdr:nvSpPr>
        <xdr:cNvPr id="24" name="TextBox 23">
          <a:extLst>
            <a:ext uri="{FF2B5EF4-FFF2-40B4-BE49-F238E27FC236}">
              <a16:creationId xmlns:a16="http://schemas.microsoft.com/office/drawing/2014/main" id="{D72C4970-3AB9-FA88-32EA-984A5D9D3DF4}"/>
            </a:ext>
          </a:extLst>
        </xdr:cNvPr>
        <xdr:cNvSpPr txBox="1"/>
      </xdr:nvSpPr>
      <xdr:spPr>
        <a:xfrm>
          <a:off x="11948160" y="426720"/>
          <a:ext cx="13563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6A582D-20C7-49DD-87FC-8B7DDBC9164C}" type="TxLink">
            <a:rPr lang="en-US" sz="2000" b="1" i="0" u="none" strike="noStrike">
              <a:solidFill>
                <a:srgbClr val="000000"/>
              </a:solidFill>
              <a:latin typeface="Calibri"/>
              <a:ea typeface="Calibri"/>
              <a:cs typeface="Calibri"/>
            </a:rPr>
            <a:pPr algn="ctr"/>
            <a:t>9.20%</a:t>
          </a:fld>
          <a:endParaRPr lang="en-IN" sz="20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l Patil" refreshedDate="46050.535904976852" createdVersion="8" refreshedVersion="8" minRefreshableVersion="3" recordCount="997" xr:uid="{6A4CF334-B41A-4E6B-A0E5-44313B01E1FC}">
  <cacheSource type="worksheet">
    <worksheetSource name="sales_data_1"/>
  </cacheSource>
  <cacheFields count="22">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d v="2024-01-01T00:00:00" u="1"/>
      </sharedItems>
      <fieldGroup par="20"/>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Cost_Price"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acheField>
    <cacheField name="Discount" numFmtId="0">
      <sharedItems containsSemiMixedTypes="0" containsString="0" containsNumber="1" minValue="0" maxValue="0.3"/>
    </cacheField>
    <cacheField name="Payment_Method" numFmtId="0">
      <sharedItems count="3">
        <s v="Cash"/>
        <s v="Bank Transfer"/>
        <s v="Credit Card"/>
      </sharedItems>
    </cacheField>
    <cacheField name="Sales_Channel" numFmtId="0">
      <sharedItems count="2">
        <s v="Online"/>
        <s v="Retail"/>
      </sharedItems>
    </cacheField>
    <cacheField name="Region_and_Sales_Rep" numFmtId="0">
      <sharedItems/>
    </cacheField>
    <cacheField name="Unit - cost" numFmtId="0">
      <sharedItems containsSemiMixedTypes="0" containsString="0" containsNumber="1" minValue="10.309999999999945" maxValue="499.93000000000029"/>
    </cacheField>
    <cacheField name="Revenue " numFmtId="0">
      <sharedItems containsSemiMixedTypes="0" containsString="0" containsNumber="1" minValue="211.18" maxValue="252147.36"/>
    </cacheField>
    <cacheField name="Profit" numFmtId="0">
      <sharedItems containsSemiMixedTypes="0" containsString="0" containsNumber="1" minValue="17.360000000000127" maxValue="23441.109999999993"/>
    </cacheField>
    <cacheField name="Profit2" numFmtId="0" formula="(Unit_Price-#NAME?) *Quantity_Sold" databaseField="0"/>
    <cacheField name="profit 2 " numFmtId="0" formula=" (Unit_Price-#NAME?) *Quantity_Sold" databaseField="0"/>
    <cacheField name="Months (Sale_Date)" numFmtId="0" databaseField="0">
      <fieldGroup base="1">
        <rangePr autoEnd="0" groupBy="months" startDate="2023-01-01T00:00:00" endDate="2023-12-31T00:00:00"/>
        <groupItems count="14">
          <s v="&lt;1/01/2023"/>
          <s v="Jan"/>
          <s v="Feb"/>
          <s v="Mar"/>
          <s v="Apr"/>
          <s v="May"/>
          <s v="Jun"/>
          <s v="Jul"/>
          <s v="Aug"/>
          <s v="Sep"/>
          <s v="Oct"/>
          <s v="Nov"/>
          <s v="Dec"/>
          <s v="&gt;31/12/2023"/>
        </groupItems>
      </fieldGroup>
    </cacheField>
    <cacheField name="Years (Sale_Date)" numFmtId="0" databaseField="0">
      <fieldGroup base="1">
        <rangePr autoEnd="0" groupBy="years" startDate="2023-01-01T00:00:00" endDate="2023-12-31T00:00:00"/>
        <groupItems count="3">
          <s v="&lt;1/01/2023"/>
          <s v="2023"/>
          <s v="&gt;31/12/2023"/>
        </groupItems>
      </fieldGroup>
    </cacheField>
    <cacheField name="Profit Margin %" numFmtId="0" formula="#NAME?/Sales_Amount" databaseField="0"/>
  </cacheFields>
  <extLst>
    <ext xmlns:x14="http://schemas.microsoft.com/office/spreadsheetml/2009/9/main" uri="{725AE2AE-9491-48be-B2B4-4EB974FC3084}">
      <x14:pivotCacheDefinition pivotCacheId="10025767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
  <r>
    <n v="1052"/>
    <x v="0"/>
    <x v="0"/>
    <x v="0"/>
    <n v="5053.97"/>
    <n v="18"/>
    <x v="0"/>
    <n v="152.75"/>
    <n v="267.22000000000003"/>
    <s v="Returning"/>
    <n v="0.09"/>
    <x v="0"/>
    <x v="0"/>
    <s v="North-Bob"/>
    <n v="114.47000000000003"/>
    <n v="4809.9600000000009"/>
    <n v="2060.4600000000005"/>
  </r>
  <r>
    <n v="1093"/>
    <x v="1"/>
    <x v="0"/>
    <x v="1"/>
    <n v="4384.0200000000004"/>
    <n v="17"/>
    <x v="0"/>
    <n v="3816.39"/>
    <n v="4209.4399999999996"/>
    <s v="Returning"/>
    <n v="0.11"/>
    <x v="0"/>
    <x v="1"/>
    <s v="West-Bob"/>
    <n v="393.04999999999973"/>
    <n v="71560.479999999996"/>
    <n v="6681.8499999999949"/>
  </r>
  <r>
    <n v="1015"/>
    <x v="2"/>
    <x v="1"/>
    <x v="2"/>
    <n v="4631.2299999999996"/>
    <n v="30"/>
    <x v="1"/>
    <n v="261.56"/>
    <n v="371.4"/>
    <s v="Returning"/>
    <n v="0.2"/>
    <x v="1"/>
    <x v="1"/>
    <s v="South-David"/>
    <n v="109.83999999999997"/>
    <n v="11142"/>
    <n v="3295.1999999999994"/>
  </r>
  <r>
    <n v="1072"/>
    <x v="3"/>
    <x v="0"/>
    <x v="2"/>
    <n v="2167.94"/>
    <n v="39"/>
    <x v="2"/>
    <n v="4330.03"/>
    <n v="4467.75"/>
    <s v="New"/>
    <n v="0.02"/>
    <x v="2"/>
    <x v="1"/>
    <s v="South-Bob"/>
    <n v="137.72000000000025"/>
    <n v="174242.25"/>
    <n v="5371.0800000000099"/>
  </r>
  <r>
    <n v="1061"/>
    <x v="4"/>
    <x v="2"/>
    <x v="3"/>
    <n v="3750.2"/>
    <n v="13"/>
    <x v="3"/>
    <n v="637.37"/>
    <n v="692.71"/>
    <s v="New"/>
    <n v="0.08"/>
    <x v="2"/>
    <x v="0"/>
    <s v="East-Charlie"/>
    <n v="55.340000000000032"/>
    <n v="9005.23"/>
    <n v="719.42000000000041"/>
  </r>
  <r>
    <n v="1021"/>
    <x v="5"/>
    <x v="2"/>
    <x v="1"/>
    <n v="3761.15"/>
    <n v="32"/>
    <x v="1"/>
    <n v="900.79"/>
    <n v="1106.51"/>
    <s v="New"/>
    <n v="0.21"/>
    <x v="0"/>
    <x v="0"/>
    <s v="West-Charlie"/>
    <n v="205.72000000000003"/>
    <n v="35408.32"/>
    <n v="6583.0400000000009"/>
  </r>
  <r>
    <n v="1083"/>
    <x v="6"/>
    <x v="0"/>
    <x v="1"/>
    <n v="618.30999999999995"/>
    <n v="29"/>
    <x v="0"/>
    <n v="2408.81"/>
    <n v="2624.09"/>
    <s v="Returning"/>
    <n v="0.14000000000000001"/>
    <x v="0"/>
    <x v="0"/>
    <s v="West-Bob"/>
    <n v="215.2800000000002"/>
    <n v="76098.61"/>
    <n v="6243.1200000000063"/>
  </r>
  <r>
    <n v="1087"/>
    <x v="7"/>
    <x v="3"/>
    <x v="2"/>
    <n v="7698.92"/>
    <n v="46"/>
    <x v="0"/>
    <n v="3702.51"/>
    <n v="3964.65"/>
    <s v="New"/>
    <n v="0.12"/>
    <x v="1"/>
    <x v="0"/>
    <s v="South-Eve"/>
    <n v="262.13999999999987"/>
    <n v="182373.9"/>
    <n v="12058.439999999995"/>
  </r>
  <r>
    <n v="1075"/>
    <x v="8"/>
    <x v="1"/>
    <x v="2"/>
    <n v="4223.3900000000003"/>
    <n v="30"/>
    <x v="0"/>
    <n v="738.06"/>
    <n v="1095.4499999999998"/>
    <s v="New"/>
    <n v="0.05"/>
    <x v="1"/>
    <x v="0"/>
    <s v="South-David"/>
    <n v="357.38999999999987"/>
    <n v="32863.499999999993"/>
    <n v="10721.699999999997"/>
  </r>
  <r>
    <n v="1075"/>
    <x v="9"/>
    <x v="2"/>
    <x v="1"/>
    <n v="8239.58"/>
    <n v="18"/>
    <x v="2"/>
    <n v="2228.35"/>
    <n v="2682.34"/>
    <s v="New"/>
    <n v="0.13"/>
    <x v="1"/>
    <x v="0"/>
    <s v="West-Charlie"/>
    <n v="453.99000000000024"/>
    <n v="48282.12"/>
    <n v="8171.8200000000043"/>
  </r>
  <r>
    <n v="1088"/>
    <x v="10"/>
    <x v="3"/>
    <x v="0"/>
    <n v="8518.4500000000007"/>
    <n v="13"/>
    <x v="0"/>
    <n v="2440.11"/>
    <n v="2517.6"/>
    <s v="New"/>
    <n v="0.23"/>
    <x v="1"/>
    <x v="1"/>
    <s v="North-Eve"/>
    <n v="77.489999999999782"/>
    <n v="32728.799999999999"/>
    <n v="1007.3699999999972"/>
  </r>
  <r>
    <n v="1100"/>
    <x v="11"/>
    <x v="0"/>
    <x v="1"/>
    <n v="2198.7399999999998"/>
    <n v="43"/>
    <x v="1"/>
    <n v="1100.81"/>
    <n v="1137.44"/>
    <s v="Returning"/>
    <n v="0.08"/>
    <x v="1"/>
    <x v="0"/>
    <s v="West-Bob"/>
    <n v="36.630000000000109"/>
    <n v="48909.920000000006"/>
    <n v="1575.0900000000047"/>
  </r>
  <r>
    <n v="1024"/>
    <x v="12"/>
    <x v="3"/>
    <x v="1"/>
    <n v="6607.8"/>
    <n v="21"/>
    <x v="1"/>
    <n v="622.01"/>
    <n v="641.09"/>
    <s v="Returning"/>
    <n v="0"/>
    <x v="1"/>
    <x v="1"/>
    <s v="West-Eve"/>
    <n v="19.080000000000041"/>
    <n v="13462.890000000001"/>
    <n v="400.68000000000086"/>
  </r>
  <r>
    <n v="1003"/>
    <x v="13"/>
    <x v="4"/>
    <x v="2"/>
    <n v="4775.59"/>
    <n v="30"/>
    <x v="0"/>
    <n v="4190.28"/>
    <n v="4270.6499999999996"/>
    <s v="New"/>
    <n v="0.2"/>
    <x v="0"/>
    <x v="0"/>
    <s v="South-Alice"/>
    <n v="80.369999999999891"/>
    <n v="128119.49999999999"/>
    <n v="2411.0999999999967"/>
  </r>
  <r>
    <n v="1022"/>
    <x v="14"/>
    <x v="2"/>
    <x v="2"/>
    <n v="8813.5499999999993"/>
    <n v="21"/>
    <x v="1"/>
    <n v="2537.1999999999998"/>
    <n v="2869.6"/>
    <s v="New"/>
    <n v="0.28999999999999998"/>
    <x v="1"/>
    <x v="1"/>
    <s v="South-Charlie"/>
    <n v="332.40000000000009"/>
    <n v="60261.599999999999"/>
    <n v="6980.4000000000015"/>
  </r>
  <r>
    <n v="1053"/>
    <x v="15"/>
    <x v="0"/>
    <x v="0"/>
    <n v="2235.83"/>
    <n v="48"/>
    <x v="0"/>
    <n v="121.19"/>
    <n v="487.65"/>
    <s v="New"/>
    <n v="0.18"/>
    <x v="0"/>
    <x v="1"/>
    <s v="North-Bob"/>
    <n v="366.46"/>
    <n v="23407.199999999997"/>
    <n v="17590.079999999998"/>
  </r>
  <r>
    <n v="1002"/>
    <x v="16"/>
    <x v="1"/>
    <x v="0"/>
    <n v="6810.35"/>
    <n v="17"/>
    <x v="0"/>
    <n v="4024.76"/>
    <n v="4420.1500000000015"/>
    <s v="Returning"/>
    <n v="0.04"/>
    <x v="0"/>
    <x v="0"/>
    <s v="North-David"/>
    <n v="395.39000000000124"/>
    <n v="75142.550000000017"/>
    <n v="6721.630000000021"/>
  </r>
  <r>
    <n v="1088"/>
    <x v="17"/>
    <x v="0"/>
    <x v="3"/>
    <n v="6116.75"/>
    <n v="40"/>
    <x v="3"/>
    <n v="4904.93"/>
    <n v="5034.3500000000004"/>
    <s v="New"/>
    <n v="0.1"/>
    <x v="2"/>
    <x v="1"/>
    <s v="East-Bob"/>
    <n v="129.42000000000007"/>
    <n v="201374"/>
    <n v="5176.8000000000029"/>
  </r>
  <r>
    <n v="1030"/>
    <x v="18"/>
    <x v="1"/>
    <x v="1"/>
    <n v="3023.48"/>
    <n v="19"/>
    <x v="2"/>
    <n v="3049.33"/>
    <n v="3209.22"/>
    <s v="Returning"/>
    <n v="0.26"/>
    <x v="0"/>
    <x v="0"/>
    <s v="West-David"/>
    <n v="159.88999999999987"/>
    <n v="60975.179999999993"/>
    <n v="3037.9099999999976"/>
  </r>
  <r>
    <n v="1038"/>
    <x v="19"/>
    <x v="0"/>
    <x v="2"/>
    <n v="1452.35"/>
    <n v="15"/>
    <x v="2"/>
    <n v="2543.36"/>
    <n v="2790.1000000000004"/>
    <s v="Returning"/>
    <n v="7.0000000000000007E-2"/>
    <x v="0"/>
    <x v="0"/>
    <s v="South-Bob"/>
    <n v="246.74000000000024"/>
    <n v="41851.500000000007"/>
    <n v="3701.1000000000035"/>
  </r>
  <r>
    <n v="1002"/>
    <x v="20"/>
    <x v="3"/>
    <x v="0"/>
    <n v="6551.23"/>
    <n v="9"/>
    <x v="3"/>
    <n v="4398.16"/>
    <n v="4439.12"/>
    <s v="New"/>
    <n v="0.18"/>
    <x v="1"/>
    <x v="0"/>
    <s v="North-Eve"/>
    <n v="40.960000000000036"/>
    <n v="39952.080000000002"/>
    <n v="368.64000000000033"/>
  </r>
  <r>
    <n v="1064"/>
    <x v="21"/>
    <x v="3"/>
    <x v="3"/>
    <n v="7412.11"/>
    <n v="10"/>
    <x v="3"/>
    <n v="4764.96"/>
    <n v="5074.42"/>
    <s v="New"/>
    <n v="0.12"/>
    <x v="0"/>
    <x v="0"/>
    <s v="East-Eve"/>
    <n v="309.46000000000004"/>
    <n v="50744.2"/>
    <n v="3094.6000000000004"/>
  </r>
  <r>
    <n v="1060"/>
    <x v="22"/>
    <x v="3"/>
    <x v="3"/>
    <n v="3224.71"/>
    <n v="44"/>
    <x v="2"/>
    <n v="3784.96"/>
    <n v="4276.99"/>
    <s v="New"/>
    <n v="0.06"/>
    <x v="1"/>
    <x v="1"/>
    <s v="East-Eve"/>
    <n v="492.02999999999975"/>
    <n v="188187.56"/>
    <n v="21649.319999999989"/>
  </r>
  <r>
    <n v="1021"/>
    <x v="23"/>
    <x v="4"/>
    <x v="2"/>
    <n v="6483.84"/>
    <n v="31"/>
    <x v="0"/>
    <n v="2254.9899999999998"/>
    <n v="2441.79"/>
    <s v="Returning"/>
    <n v="0.24"/>
    <x v="1"/>
    <x v="0"/>
    <s v="South-Alice"/>
    <n v="186.80000000000018"/>
    <n v="75695.490000000005"/>
    <n v="5790.8000000000056"/>
  </r>
  <r>
    <n v="1033"/>
    <x v="24"/>
    <x v="1"/>
    <x v="2"/>
    <n v="4011.8"/>
    <n v="23"/>
    <x v="0"/>
    <n v="2981.5"/>
    <n v="3360.4"/>
    <s v="Returning"/>
    <n v="0.22"/>
    <x v="1"/>
    <x v="1"/>
    <s v="South-David"/>
    <n v="378.90000000000009"/>
    <n v="77289.2"/>
    <n v="8714.7000000000025"/>
  </r>
  <r>
    <n v="1076"/>
    <x v="22"/>
    <x v="3"/>
    <x v="3"/>
    <n v="7160.75"/>
    <n v="30"/>
    <x v="2"/>
    <n v="3519.63"/>
    <n v="3774.65"/>
    <s v="New"/>
    <n v="0.2"/>
    <x v="2"/>
    <x v="1"/>
    <s v="East-Eve"/>
    <n v="255.01999999999998"/>
    <n v="113239.5"/>
    <n v="7650.5999999999995"/>
  </r>
  <r>
    <n v="1058"/>
    <x v="25"/>
    <x v="4"/>
    <x v="0"/>
    <n v="2072.23"/>
    <n v="33"/>
    <x v="0"/>
    <n v="1011.65"/>
    <n v="1084.28"/>
    <s v="Returning"/>
    <n v="7.0000000000000007E-2"/>
    <x v="1"/>
    <x v="1"/>
    <s v="North-Alice"/>
    <n v="72.63"/>
    <n v="35781.24"/>
    <n v="2396.79"/>
  </r>
  <r>
    <n v="1022"/>
    <x v="26"/>
    <x v="1"/>
    <x v="3"/>
    <n v="8913.1299999999992"/>
    <n v="9"/>
    <x v="3"/>
    <n v="2263.65"/>
    <n v="2558.9500000000003"/>
    <s v="New"/>
    <n v="0.03"/>
    <x v="0"/>
    <x v="0"/>
    <s v="East-David"/>
    <n v="295.30000000000018"/>
    <n v="23030.550000000003"/>
    <n v="2657.7000000000016"/>
  </r>
  <r>
    <n v="1089"/>
    <x v="27"/>
    <x v="0"/>
    <x v="1"/>
    <n v="2945.36"/>
    <n v="47"/>
    <x v="0"/>
    <n v="4157.62"/>
    <n v="4314.5599999999995"/>
    <s v="New"/>
    <n v="0.17"/>
    <x v="1"/>
    <x v="1"/>
    <s v="West-Bob"/>
    <n v="156.9399999999996"/>
    <n v="202784.31999999998"/>
    <n v="7376.1799999999812"/>
  </r>
  <r>
    <n v="1049"/>
    <x v="28"/>
    <x v="4"/>
    <x v="1"/>
    <n v="3741.08"/>
    <n v="1"/>
    <x v="0"/>
    <n v="3290.89"/>
    <n v="3317.75"/>
    <s v="Returning"/>
    <n v="0.17"/>
    <x v="1"/>
    <x v="0"/>
    <s v="West-Alice"/>
    <n v="26.860000000000127"/>
    <n v="3317.75"/>
    <n v="26.860000000000127"/>
  </r>
  <r>
    <n v="1091"/>
    <x v="29"/>
    <x v="2"/>
    <x v="2"/>
    <n v="675.11"/>
    <n v="44"/>
    <x v="1"/>
    <n v="2085.46"/>
    <n v="2406.58"/>
    <s v="Returning"/>
    <n v="0.06"/>
    <x v="1"/>
    <x v="1"/>
    <s v="South-Charlie"/>
    <n v="321.11999999999989"/>
    <n v="105889.51999999999"/>
    <n v="14129.279999999995"/>
  </r>
  <r>
    <n v="1059"/>
    <x v="30"/>
    <x v="4"/>
    <x v="0"/>
    <n v="1203.97"/>
    <n v="35"/>
    <x v="1"/>
    <n v="3333.64"/>
    <n v="3764.52"/>
    <s v="Returning"/>
    <n v="0.02"/>
    <x v="2"/>
    <x v="0"/>
    <s v="North-Alice"/>
    <n v="430.88000000000011"/>
    <n v="131758.20000000001"/>
    <n v="15080.800000000003"/>
  </r>
  <r>
    <n v="1042"/>
    <x v="31"/>
    <x v="4"/>
    <x v="0"/>
    <n v="5207.03"/>
    <n v="11"/>
    <x v="1"/>
    <n v="635.20000000000005"/>
    <n v="814.1400000000001"/>
    <s v="Returning"/>
    <n v="0.02"/>
    <x v="0"/>
    <x v="0"/>
    <s v="North-Alice"/>
    <n v="178.94000000000005"/>
    <n v="8955.5400000000009"/>
    <n v="1968.3400000000006"/>
  </r>
  <r>
    <n v="1092"/>
    <x v="32"/>
    <x v="1"/>
    <x v="1"/>
    <n v="2749.17"/>
    <n v="34"/>
    <x v="0"/>
    <n v="2037.41"/>
    <n v="2238.65"/>
    <s v="New"/>
    <n v="0.3"/>
    <x v="2"/>
    <x v="0"/>
    <s v="West-David"/>
    <n v="201.24"/>
    <n v="76114.100000000006"/>
    <n v="6842.16"/>
  </r>
  <r>
    <n v="1060"/>
    <x v="14"/>
    <x v="0"/>
    <x v="3"/>
    <n v="8371.25"/>
    <n v="16"/>
    <x v="2"/>
    <n v="3975.99"/>
    <n v="4422.59"/>
    <s v="New"/>
    <n v="0.24"/>
    <x v="0"/>
    <x v="0"/>
    <s v="East-Bob"/>
    <n v="446.60000000000036"/>
    <n v="70761.440000000002"/>
    <n v="7145.6000000000058"/>
  </r>
  <r>
    <n v="1080"/>
    <x v="33"/>
    <x v="2"/>
    <x v="2"/>
    <n v="245.46"/>
    <n v="9"/>
    <x v="3"/>
    <n v="1141.52"/>
    <n v="1550.19"/>
    <s v="New"/>
    <n v="0.28000000000000003"/>
    <x v="2"/>
    <x v="1"/>
    <s v="South-Charlie"/>
    <n v="408.67000000000007"/>
    <n v="13951.710000000001"/>
    <n v="3678.0300000000007"/>
  </r>
  <r>
    <n v="1015"/>
    <x v="34"/>
    <x v="3"/>
    <x v="3"/>
    <n v="3853.03"/>
    <n v="32"/>
    <x v="0"/>
    <n v="970.51"/>
    <n v="1330.84"/>
    <s v="Returning"/>
    <n v="0.06"/>
    <x v="0"/>
    <x v="1"/>
    <s v="East-Eve"/>
    <n v="360.32999999999993"/>
    <n v="42586.879999999997"/>
    <n v="11530.559999999998"/>
  </r>
  <r>
    <n v="1062"/>
    <x v="7"/>
    <x v="3"/>
    <x v="3"/>
    <n v="3439.72"/>
    <n v="15"/>
    <x v="2"/>
    <n v="4756.55"/>
    <n v="4888.46"/>
    <s v="New"/>
    <n v="0.28999999999999998"/>
    <x v="2"/>
    <x v="0"/>
    <s v="East-Eve"/>
    <n v="131.90999999999985"/>
    <n v="73326.899999999994"/>
    <n v="1978.6499999999978"/>
  </r>
  <r>
    <n v="1062"/>
    <x v="35"/>
    <x v="4"/>
    <x v="3"/>
    <n v="291.33999999999997"/>
    <n v="12"/>
    <x v="0"/>
    <n v="1088.99"/>
    <n v="1545"/>
    <s v="Returning"/>
    <n v="0.04"/>
    <x v="1"/>
    <x v="1"/>
    <s v="East-Alice"/>
    <n v="456.01"/>
    <n v="18540"/>
    <n v="5472.12"/>
  </r>
  <r>
    <n v="1047"/>
    <x v="36"/>
    <x v="1"/>
    <x v="0"/>
    <n v="1331.25"/>
    <n v="33"/>
    <x v="3"/>
    <n v="1341.55"/>
    <n v="1427.21"/>
    <s v="Returning"/>
    <n v="0.15"/>
    <x v="2"/>
    <x v="0"/>
    <s v="North-David"/>
    <n v="85.660000000000082"/>
    <n v="47097.93"/>
    <n v="2826.7800000000025"/>
  </r>
  <r>
    <n v="1062"/>
    <x v="37"/>
    <x v="1"/>
    <x v="1"/>
    <n v="4195.0600000000004"/>
    <n v="45"/>
    <x v="0"/>
    <n v="4849.6000000000004"/>
    <n v="5166.72"/>
    <s v="Returning"/>
    <n v="0.25"/>
    <x v="2"/>
    <x v="0"/>
    <s v="West-David"/>
    <n v="317.11999999999989"/>
    <n v="232502.40000000002"/>
    <n v="14270.399999999994"/>
  </r>
  <r>
    <n v="1051"/>
    <x v="21"/>
    <x v="3"/>
    <x v="0"/>
    <n v="4979.3599999999997"/>
    <n v="14"/>
    <x v="3"/>
    <n v="3686.81"/>
    <n v="3710.92"/>
    <s v="New"/>
    <n v="0.1"/>
    <x v="1"/>
    <x v="1"/>
    <s v="North-Eve"/>
    <n v="24.110000000000127"/>
    <n v="51952.880000000005"/>
    <n v="337.54000000000178"/>
  </r>
  <r>
    <n v="1055"/>
    <x v="38"/>
    <x v="2"/>
    <x v="1"/>
    <n v="4102.47"/>
    <n v="8"/>
    <x v="0"/>
    <n v="3513"/>
    <n v="3838.42"/>
    <s v="Returning"/>
    <n v="0.13"/>
    <x v="1"/>
    <x v="0"/>
    <s v="West-Charlie"/>
    <n v="325.42000000000007"/>
    <n v="30707.360000000001"/>
    <n v="2603.3600000000006"/>
  </r>
  <r>
    <n v="1064"/>
    <x v="39"/>
    <x v="0"/>
    <x v="2"/>
    <n v="5356.28"/>
    <n v="8"/>
    <x v="3"/>
    <n v="4271.99"/>
    <n v="4417.79"/>
    <s v="Returning"/>
    <n v="0.04"/>
    <x v="0"/>
    <x v="0"/>
    <s v="South-Bob"/>
    <n v="145.80000000000018"/>
    <n v="35342.32"/>
    <n v="1166.4000000000015"/>
  </r>
  <r>
    <n v="1003"/>
    <x v="40"/>
    <x v="2"/>
    <x v="2"/>
    <n v="5991.8"/>
    <n v="27"/>
    <x v="0"/>
    <n v="623.32000000000005"/>
    <n v="853.66000000000008"/>
    <s v="Returning"/>
    <n v="0.04"/>
    <x v="0"/>
    <x v="0"/>
    <s v="South-Charlie"/>
    <n v="230.34000000000003"/>
    <n v="23048.820000000003"/>
    <n v="6219.1800000000012"/>
  </r>
  <r>
    <n v="1051"/>
    <x v="41"/>
    <x v="0"/>
    <x v="3"/>
    <n v="198.25"/>
    <n v="12"/>
    <x v="3"/>
    <n v="3544.48"/>
    <n v="3723.66"/>
    <s v="Returning"/>
    <n v="0.19"/>
    <x v="0"/>
    <x v="0"/>
    <s v="East-Bob"/>
    <n v="179.17999999999984"/>
    <n v="44683.92"/>
    <n v="2150.159999999998"/>
  </r>
  <r>
    <n v="1007"/>
    <x v="42"/>
    <x v="3"/>
    <x v="1"/>
    <n v="4694.54"/>
    <n v="1"/>
    <x v="1"/>
    <n v="2543.2600000000002"/>
    <n v="2637.9100000000003"/>
    <s v="Returning"/>
    <n v="0.2"/>
    <x v="2"/>
    <x v="0"/>
    <s v="West-Eve"/>
    <n v="94.650000000000091"/>
    <n v="2637.9100000000003"/>
    <n v="94.650000000000091"/>
  </r>
  <r>
    <n v="1021"/>
    <x v="43"/>
    <x v="0"/>
    <x v="1"/>
    <n v="9638.64"/>
    <n v="43"/>
    <x v="0"/>
    <n v="4154.3"/>
    <n v="4469.07"/>
    <s v="Returning"/>
    <n v="0.23"/>
    <x v="0"/>
    <x v="1"/>
    <s v="West-Bob"/>
    <n v="314.76999999999953"/>
    <n v="192170.00999999998"/>
    <n v="13535.109999999979"/>
  </r>
  <r>
    <n v="1073"/>
    <x v="38"/>
    <x v="1"/>
    <x v="1"/>
    <n v="5238.42"/>
    <n v="40"/>
    <x v="0"/>
    <n v="2565.3000000000002"/>
    <n v="3007.4700000000003"/>
    <s v="Returning"/>
    <n v="0.17"/>
    <x v="2"/>
    <x v="1"/>
    <s v="West-David"/>
    <n v="442.17000000000007"/>
    <n v="120298.80000000002"/>
    <n v="17686.800000000003"/>
  </r>
  <r>
    <n v="1039"/>
    <x v="44"/>
    <x v="4"/>
    <x v="3"/>
    <n v="6807.67"/>
    <n v="42"/>
    <x v="2"/>
    <n v="3120.19"/>
    <n v="3600.14"/>
    <s v="Returning"/>
    <n v="0.19"/>
    <x v="2"/>
    <x v="1"/>
    <s v="East-Alice"/>
    <n v="479.94999999999982"/>
    <n v="151205.88"/>
    <n v="20157.899999999994"/>
  </r>
  <r>
    <n v="1018"/>
    <x v="45"/>
    <x v="4"/>
    <x v="3"/>
    <n v="3187.45"/>
    <n v="11"/>
    <x v="2"/>
    <n v="2414.8200000000002"/>
    <n v="2519.0700000000002"/>
    <s v="Returning"/>
    <n v="0"/>
    <x v="0"/>
    <x v="0"/>
    <s v="East-Alice"/>
    <n v="104.25"/>
    <n v="27709.77"/>
    <n v="1146.75"/>
  </r>
  <r>
    <n v="1004"/>
    <x v="46"/>
    <x v="3"/>
    <x v="2"/>
    <n v="7762.51"/>
    <n v="39"/>
    <x v="3"/>
    <n v="2416.89"/>
    <n v="2778.3999999999996"/>
    <s v="Returning"/>
    <n v="0.05"/>
    <x v="0"/>
    <x v="0"/>
    <s v="South-Eve"/>
    <n v="361.50999999999976"/>
    <n v="108357.59999999999"/>
    <n v="14098.88999999999"/>
  </r>
  <r>
    <n v="1089"/>
    <x v="47"/>
    <x v="1"/>
    <x v="0"/>
    <n v="7751.92"/>
    <n v="43"/>
    <x v="0"/>
    <n v="3851.45"/>
    <n v="4186.9799999999996"/>
    <s v="Returning"/>
    <n v="0.3"/>
    <x v="2"/>
    <x v="0"/>
    <s v="North-David"/>
    <n v="335.52999999999975"/>
    <n v="180040.13999999998"/>
    <n v="14427.78999999999"/>
  </r>
  <r>
    <n v="1060"/>
    <x v="48"/>
    <x v="2"/>
    <x v="1"/>
    <n v="5260.83"/>
    <n v="31"/>
    <x v="3"/>
    <n v="3161.4"/>
    <n v="3339.66"/>
    <s v="Returning"/>
    <n v="0.02"/>
    <x v="1"/>
    <x v="0"/>
    <s v="West-Charlie"/>
    <n v="178.25999999999976"/>
    <n v="103529.45999999999"/>
    <n v="5526.0599999999922"/>
  </r>
  <r>
    <n v="1014"/>
    <x v="49"/>
    <x v="1"/>
    <x v="1"/>
    <n v="9762.5400000000009"/>
    <n v="17"/>
    <x v="1"/>
    <n v="3184.65"/>
    <n v="3204.01"/>
    <s v="New"/>
    <n v="0.2"/>
    <x v="1"/>
    <x v="0"/>
    <s v="West-David"/>
    <n v="19.360000000000127"/>
    <n v="54468.170000000006"/>
    <n v="329.12000000000216"/>
  </r>
  <r>
    <n v="1009"/>
    <x v="40"/>
    <x v="4"/>
    <x v="0"/>
    <n v="1342.95"/>
    <n v="33"/>
    <x v="2"/>
    <n v="2278.9"/>
    <n v="2626.9"/>
    <s v="New"/>
    <n v="0.05"/>
    <x v="2"/>
    <x v="0"/>
    <s v="North-Alice"/>
    <n v="348"/>
    <n v="86687.7"/>
    <n v="11484"/>
  </r>
  <r>
    <n v="1090"/>
    <x v="50"/>
    <x v="4"/>
    <x v="1"/>
    <n v="267.77999999999997"/>
    <n v="32"/>
    <x v="3"/>
    <n v="2678.99"/>
    <n v="3152.2799999999997"/>
    <s v="Returning"/>
    <n v="0.22"/>
    <x v="0"/>
    <x v="1"/>
    <s v="West-Alice"/>
    <n v="473.28999999999996"/>
    <n v="100872.95999999999"/>
    <n v="15145.279999999999"/>
  </r>
  <r>
    <n v="1053"/>
    <x v="51"/>
    <x v="1"/>
    <x v="3"/>
    <n v="7724.57"/>
    <n v="29"/>
    <x v="3"/>
    <n v="3741.3"/>
    <n v="4061.04"/>
    <s v="Returning"/>
    <n v="0.21"/>
    <x v="2"/>
    <x v="0"/>
    <s v="East-David"/>
    <n v="319.73999999999978"/>
    <n v="117770.16"/>
    <n v="9272.4599999999937"/>
  </r>
  <r>
    <n v="1002"/>
    <x v="52"/>
    <x v="1"/>
    <x v="3"/>
    <n v="8090.84"/>
    <n v="21"/>
    <x v="2"/>
    <n v="4138.41"/>
    <n v="4361.7"/>
    <s v="Returning"/>
    <n v="7.0000000000000007E-2"/>
    <x v="2"/>
    <x v="1"/>
    <s v="East-David"/>
    <n v="223.28999999999996"/>
    <n v="91595.7"/>
    <n v="4689.0899999999992"/>
  </r>
  <r>
    <n v="1084"/>
    <x v="53"/>
    <x v="4"/>
    <x v="1"/>
    <n v="1290.05"/>
    <n v="21"/>
    <x v="0"/>
    <n v="3497.98"/>
    <n v="3765.31"/>
    <s v="New"/>
    <n v="0.08"/>
    <x v="0"/>
    <x v="0"/>
    <s v="West-Alice"/>
    <n v="267.32999999999993"/>
    <n v="79071.509999999995"/>
    <n v="5613.9299999999985"/>
  </r>
  <r>
    <n v="1092"/>
    <x v="54"/>
    <x v="2"/>
    <x v="3"/>
    <n v="2729.27"/>
    <n v="40"/>
    <x v="3"/>
    <n v="4624.16"/>
    <n v="4731.9799999999996"/>
    <s v="New"/>
    <n v="0.2"/>
    <x v="1"/>
    <x v="1"/>
    <s v="East-Charlie"/>
    <n v="107.81999999999971"/>
    <n v="189279.19999999998"/>
    <n v="4312.7999999999884"/>
  </r>
  <r>
    <n v="1060"/>
    <x v="55"/>
    <x v="3"/>
    <x v="3"/>
    <n v="273.77"/>
    <n v="23"/>
    <x v="2"/>
    <n v="4110.6000000000004"/>
    <n v="4488.3700000000008"/>
    <s v="New"/>
    <n v="0.12"/>
    <x v="2"/>
    <x v="0"/>
    <s v="East-Eve"/>
    <n v="377.77000000000044"/>
    <n v="103232.51000000002"/>
    <n v="8688.71000000001"/>
  </r>
  <r>
    <n v="1071"/>
    <x v="56"/>
    <x v="3"/>
    <x v="1"/>
    <n v="3003.76"/>
    <n v="6"/>
    <x v="0"/>
    <n v="2831.23"/>
    <n v="3206.98"/>
    <s v="Returning"/>
    <n v="0.06"/>
    <x v="1"/>
    <x v="1"/>
    <s v="West-Eve"/>
    <n v="375.75"/>
    <n v="19241.88"/>
    <n v="2254.5"/>
  </r>
  <r>
    <n v="1044"/>
    <x v="57"/>
    <x v="1"/>
    <x v="2"/>
    <n v="7754.1"/>
    <n v="22"/>
    <x v="1"/>
    <n v="3373.46"/>
    <n v="3454.76"/>
    <s v="Returning"/>
    <n v="0.22"/>
    <x v="1"/>
    <x v="1"/>
    <s v="South-David"/>
    <n v="81.300000000000182"/>
    <n v="76004.72"/>
    <n v="1788.600000000004"/>
  </r>
  <r>
    <n v="1008"/>
    <x v="58"/>
    <x v="3"/>
    <x v="0"/>
    <n v="5227.8100000000004"/>
    <n v="38"/>
    <x v="2"/>
    <n v="4635.2299999999996"/>
    <n v="5075.4399999999996"/>
    <s v="Returning"/>
    <n v="0.05"/>
    <x v="0"/>
    <x v="0"/>
    <s v="North-Eve"/>
    <n v="440.21000000000004"/>
    <n v="192866.71999999997"/>
    <n v="16727.980000000003"/>
  </r>
  <r>
    <n v="1047"/>
    <x v="59"/>
    <x v="4"/>
    <x v="3"/>
    <n v="3546.15"/>
    <n v="37"/>
    <x v="3"/>
    <n v="3114.88"/>
    <n v="3256.78"/>
    <s v="Returning"/>
    <n v="0.26"/>
    <x v="2"/>
    <x v="0"/>
    <s v="East-Alice"/>
    <n v="141.90000000000009"/>
    <n v="120500.86"/>
    <n v="5250.3000000000029"/>
  </r>
  <r>
    <n v="1035"/>
    <x v="60"/>
    <x v="4"/>
    <x v="2"/>
    <n v="3780.22"/>
    <n v="45"/>
    <x v="1"/>
    <n v="4132.79"/>
    <n v="4624.1000000000004"/>
    <s v="New"/>
    <n v="0.15"/>
    <x v="2"/>
    <x v="1"/>
    <s v="South-Alice"/>
    <n v="491.3100000000004"/>
    <n v="208084.50000000003"/>
    <n v="22108.950000000019"/>
  </r>
  <r>
    <n v="1078"/>
    <x v="10"/>
    <x v="1"/>
    <x v="3"/>
    <n v="113.4"/>
    <n v="8"/>
    <x v="0"/>
    <n v="3459.61"/>
    <n v="3657.23"/>
    <s v="Returning"/>
    <n v="0.03"/>
    <x v="1"/>
    <x v="0"/>
    <s v="East-David"/>
    <n v="197.61999999999989"/>
    <n v="29257.84"/>
    <n v="1580.9599999999991"/>
  </r>
  <r>
    <n v="1081"/>
    <x v="61"/>
    <x v="1"/>
    <x v="3"/>
    <n v="3068.03"/>
    <n v="41"/>
    <x v="0"/>
    <n v="2782.08"/>
    <n v="2879.24"/>
    <s v="New"/>
    <n v="0.21"/>
    <x v="1"/>
    <x v="0"/>
    <s v="East-David"/>
    <n v="97.159999999999854"/>
    <n v="118048.84"/>
    <n v="3983.559999999994"/>
  </r>
  <r>
    <n v="1036"/>
    <x v="62"/>
    <x v="1"/>
    <x v="0"/>
    <n v="6499.94"/>
    <n v="49"/>
    <x v="2"/>
    <n v="1247.0999999999999"/>
    <n v="1429.4399999999998"/>
    <s v="New"/>
    <n v="0.16"/>
    <x v="0"/>
    <x v="0"/>
    <s v="North-David"/>
    <n v="182.33999999999992"/>
    <n v="70042.559999999998"/>
    <n v="8934.6599999999962"/>
  </r>
  <r>
    <n v="1050"/>
    <x v="63"/>
    <x v="2"/>
    <x v="3"/>
    <n v="9744.52"/>
    <n v="35"/>
    <x v="2"/>
    <n v="2158.69"/>
    <n v="2384.38"/>
    <s v="Returning"/>
    <n v="0.09"/>
    <x v="1"/>
    <x v="1"/>
    <s v="East-Charlie"/>
    <n v="225.69000000000005"/>
    <n v="83453.3"/>
    <n v="7899.1500000000015"/>
  </r>
  <r>
    <n v="1004"/>
    <x v="64"/>
    <x v="3"/>
    <x v="0"/>
    <n v="8485.9"/>
    <n v="11"/>
    <x v="2"/>
    <n v="4840.33"/>
    <n v="4884.29"/>
    <s v="New"/>
    <n v="0.13"/>
    <x v="0"/>
    <x v="0"/>
    <s v="North-Eve"/>
    <n v="43.960000000000036"/>
    <n v="53727.19"/>
    <n v="483.5600000000004"/>
  </r>
  <r>
    <n v="1002"/>
    <x v="65"/>
    <x v="1"/>
    <x v="0"/>
    <n v="333.59"/>
    <n v="24"/>
    <x v="0"/>
    <n v="3305.94"/>
    <n v="3599.27"/>
    <s v="New"/>
    <n v="0.09"/>
    <x v="2"/>
    <x v="1"/>
    <s v="North-David"/>
    <n v="293.32999999999993"/>
    <n v="86382.48"/>
    <n v="7039.9199999999983"/>
  </r>
  <r>
    <n v="1006"/>
    <x v="66"/>
    <x v="0"/>
    <x v="0"/>
    <n v="8995.75"/>
    <n v="49"/>
    <x v="1"/>
    <n v="2843.76"/>
    <n v="3146.6000000000004"/>
    <s v="New"/>
    <n v="0.08"/>
    <x v="0"/>
    <x v="1"/>
    <s v="North-Bob"/>
    <n v="302.84000000000015"/>
    <n v="154183.40000000002"/>
    <n v="14839.160000000007"/>
  </r>
  <r>
    <n v="1054"/>
    <x v="67"/>
    <x v="0"/>
    <x v="2"/>
    <n v="7853.66"/>
    <n v="21"/>
    <x v="0"/>
    <n v="4668.1400000000003"/>
    <n v="5040.22"/>
    <s v="New"/>
    <n v="0.05"/>
    <x v="1"/>
    <x v="0"/>
    <s v="South-Bob"/>
    <n v="372.07999999999993"/>
    <n v="105844.62000000001"/>
    <n v="7813.6799999999985"/>
  </r>
  <r>
    <n v="1004"/>
    <x v="68"/>
    <x v="4"/>
    <x v="1"/>
    <n v="7825.72"/>
    <n v="2"/>
    <x v="3"/>
    <n v="2953.23"/>
    <n v="2977.52"/>
    <s v="Returning"/>
    <n v="0.11"/>
    <x v="2"/>
    <x v="1"/>
    <s v="West-Alice"/>
    <n v="24.289999999999964"/>
    <n v="5955.04"/>
    <n v="48.579999999999927"/>
  </r>
  <r>
    <n v="1054"/>
    <x v="69"/>
    <x v="3"/>
    <x v="2"/>
    <n v="4634.16"/>
    <n v="40"/>
    <x v="0"/>
    <n v="2654.11"/>
    <n v="2929.32"/>
    <s v="Returning"/>
    <n v="0.08"/>
    <x v="0"/>
    <x v="0"/>
    <s v="South-Eve"/>
    <n v="275.21000000000004"/>
    <n v="117172.8"/>
    <n v="11008.400000000001"/>
  </r>
  <r>
    <n v="1093"/>
    <x v="70"/>
    <x v="1"/>
    <x v="1"/>
    <n v="4040.25"/>
    <n v="19"/>
    <x v="3"/>
    <n v="3808.59"/>
    <n v="3844.51"/>
    <s v="New"/>
    <n v="0.21"/>
    <x v="2"/>
    <x v="0"/>
    <s v="West-David"/>
    <n v="35.920000000000073"/>
    <n v="73045.69"/>
    <n v="682.48000000000138"/>
  </r>
  <r>
    <n v="1063"/>
    <x v="71"/>
    <x v="0"/>
    <x v="1"/>
    <n v="3098.87"/>
    <n v="39"/>
    <x v="1"/>
    <n v="3577.69"/>
    <n v="3931.25"/>
    <s v="Returning"/>
    <n v="0.21"/>
    <x v="0"/>
    <x v="1"/>
    <s v="West-Bob"/>
    <n v="353.55999999999995"/>
    <n v="153318.75"/>
    <n v="13788.839999999998"/>
  </r>
  <r>
    <n v="1018"/>
    <x v="72"/>
    <x v="3"/>
    <x v="0"/>
    <n v="750.38"/>
    <n v="28"/>
    <x v="2"/>
    <n v="1006.14"/>
    <n v="1043.45"/>
    <s v="New"/>
    <n v="0.15"/>
    <x v="1"/>
    <x v="1"/>
    <s v="North-Eve"/>
    <n v="37.310000000000059"/>
    <n v="29216.600000000002"/>
    <n v="1044.6800000000017"/>
  </r>
  <r>
    <n v="1090"/>
    <x v="73"/>
    <x v="4"/>
    <x v="3"/>
    <n v="2359.5300000000002"/>
    <n v="17"/>
    <x v="2"/>
    <n v="2382.98"/>
    <n v="2839.73"/>
    <s v="Returning"/>
    <n v="0.23"/>
    <x v="1"/>
    <x v="1"/>
    <s v="East-Alice"/>
    <n v="456.75"/>
    <n v="48275.41"/>
    <n v="7764.75"/>
  </r>
  <r>
    <n v="1044"/>
    <x v="74"/>
    <x v="2"/>
    <x v="0"/>
    <n v="2541.38"/>
    <n v="6"/>
    <x v="0"/>
    <n v="2388.9499999999998"/>
    <n v="2742.97"/>
    <s v="Returning"/>
    <n v="0.25"/>
    <x v="2"/>
    <x v="1"/>
    <s v="North-Charlie"/>
    <n v="354.02"/>
    <n v="16457.82"/>
    <n v="2124.12"/>
  </r>
  <r>
    <n v="1034"/>
    <x v="75"/>
    <x v="3"/>
    <x v="3"/>
    <n v="4892.3599999999997"/>
    <n v="19"/>
    <x v="2"/>
    <n v="1922.21"/>
    <n v="2180.83"/>
    <s v="Returning"/>
    <n v="0.17"/>
    <x v="2"/>
    <x v="1"/>
    <s v="East-Eve"/>
    <n v="258.61999999999989"/>
    <n v="41435.769999999997"/>
    <n v="4913.7799999999979"/>
  </r>
  <r>
    <n v="1074"/>
    <x v="76"/>
    <x v="3"/>
    <x v="1"/>
    <n v="7499.7"/>
    <n v="38"/>
    <x v="1"/>
    <n v="2610.6"/>
    <n v="2836.94"/>
    <s v="Returning"/>
    <n v="0.19"/>
    <x v="2"/>
    <x v="0"/>
    <s v="West-Eve"/>
    <n v="226.34000000000015"/>
    <n v="107803.72"/>
    <n v="8600.9200000000055"/>
  </r>
  <r>
    <n v="1062"/>
    <x v="77"/>
    <x v="2"/>
    <x v="0"/>
    <n v="4790.72"/>
    <n v="28"/>
    <x v="2"/>
    <n v="2094.88"/>
    <n v="2168.9100000000003"/>
    <s v="Returning"/>
    <n v="0.08"/>
    <x v="0"/>
    <x v="1"/>
    <s v="North-Charlie"/>
    <n v="74.0300000000002"/>
    <n v="60729.48000000001"/>
    <n v="2072.8400000000056"/>
  </r>
  <r>
    <n v="1100"/>
    <x v="78"/>
    <x v="3"/>
    <x v="3"/>
    <n v="672.66"/>
    <n v="2"/>
    <x v="0"/>
    <n v="1036.76"/>
    <n v="1189.3499999999999"/>
    <s v="New"/>
    <n v="0.27"/>
    <x v="1"/>
    <x v="0"/>
    <s v="East-Eve"/>
    <n v="152.58999999999992"/>
    <n v="2378.6999999999998"/>
    <n v="305.17999999999984"/>
  </r>
  <r>
    <n v="1014"/>
    <x v="6"/>
    <x v="4"/>
    <x v="2"/>
    <n v="9582.1200000000008"/>
    <n v="38"/>
    <x v="1"/>
    <n v="2091.21"/>
    <n v="2527"/>
    <s v="Returning"/>
    <n v="0.01"/>
    <x v="2"/>
    <x v="0"/>
    <s v="South-Alice"/>
    <n v="435.78999999999996"/>
    <n v="96026"/>
    <n v="16560.019999999997"/>
  </r>
  <r>
    <n v="1095"/>
    <x v="79"/>
    <x v="4"/>
    <x v="3"/>
    <n v="9432.9699999999993"/>
    <n v="37"/>
    <x v="3"/>
    <n v="407.77"/>
    <n v="860.95"/>
    <s v="New"/>
    <n v="0.1"/>
    <x v="2"/>
    <x v="1"/>
    <s v="East-Alice"/>
    <n v="453.18000000000006"/>
    <n v="31855.15"/>
    <n v="16767.660000000003"/>
  </r>
  <r>
    <n v="1048"/>
    <x v="80"/>
    <x v="2"/>
    <x v="0"/>
    <n v="7873.38"/>
    <n v="4"/>
    <x v="0"/>
    <n v="2900.14"/>
    <n v="2910.5099999999998"/>
    <s v="New"/>
    <n v="0.22"/>
    <x v="2"/>
    <x v="1"/>
    <s v="North-Charlie"/>
    <n v="10.369999999999891"/>
    <n v="11642.039999999999"/>
    <n v="41.479999999999563"/>
  </r>
  <r>
    <n v="1015"/>
    <x v="81"/>
    <x v="1"/>
    <x v="2"/>
    <n v="9914.15"/>
    <n v="22"/>
    <x v="3"/>
    <n v="4275.59"/>
    <n v="4576.72"/>
    <s v="Returning"/>
    <n v="0.02"/>
    <x v="0"/>
    <x v="1"/>
    <s v="South-David"/>
    <n v="301.13000000000011"/>
    <n v="100687.84000000001"/>
    <n v="6624.8600000000024"/>
  </r>
  <r>
    <n v="1072"/>
    <x v="61"/>
    <x v="0"/>
    <x v="3"/>
    <n v="5490.38"/>
    <n v="26"/>
    <x v="1"/>
    <n v="3640.17"/>
    <n v="4002.63"/>
    <s v="New"/>
    <n v="0.05"/>
    <x v="2"/>
    <x v="1"/>
    <s v="East-Bob"/>
    <n v="362.46000000000004"/>
    <n v="104068.38"/>
    <n v="9423.9600000000009"/>
  </r>
  <r>
    <n v="1078"/>
    <x v="41"/>
    <x v="1"/>
    <x v="3"/>
    <n v="9631.41"/>
    <n v="49"/>
    <x v="0"/>
    <n v="1833.95"/>
    <n v="2147.14"/>
    <s v="Returning"/>
    <n v="0.18"/>
    <x v="2"/>
    <x v="1"/>
    <s v="East-David"/>
    <n v="313.18999999999983"/>
    <n v="105209.86"/>
    <n v="15346.309999999992"/>
  </r>
  <r>
    <n v="1087"/>
    <x v="25"/>
    <x v="3"/>
    <x v="3"/>
    <n v="848.49"/>
    <n v="43"/>
    <x v="0"/>
    <n v="481"/>
    <n v="531.02"/>
    <s v="New"/>
    <n v="0.17"/>
    <x v="0"/>
    <x v="0"/>
    <s v="East-Eve"/>
    <n v="50.019999999999982"/>
    <n v="22833.86"/>
    <n v="2150.8599999999992"/>
  </r>
  <r>
    <n v="1062"/>
    <x v="82"/>
    <x v="0"/>
    <x v="3"/>
    <n v="3720.24"/>
    <n v="36"/>
    <x v="1"/>
    <n v="1050.6400000000001"/>
    <n v="1167.3300000000002"/>
    <s v="New"/>
    <n v="0.22"/>
    <x v="0"/>
    <x v="0"/>
    <s v="East-Bob"/>
    <n v="116.69000000000005"/>
    <n v="42023.880000000005"/>
    <n v="4200.840000000002"/>
  </r>
  <r>
    <n v="1040"/>
    <x v="83"/>
    <x v="2"/>
    <x v="3"/>
    <n v="2331.27"/>
    <n v="13"/>
    <x v="2"/>
    <n v="2750.18"/>
    <n v="2882.85"/>
    <s v="Returning"/>
    <n v="0.24"/>
    <x v="2"/>
    <x v="0"/>
    <s v="East-Charlie"/>
    <n v="132.67000000000007"/>
    <n v="37477.049999999996"/>
    <n v="1724.7100000000009"/>
  </r>
  <r>
    <n v="1085"/>
    <x v="24"/>
    <x v="2"/>
    <x v="2"/>
    <n v="2038.75"/>
    <n v="32"/>
    <x v="0"/>
    <n v="1074.93"/>
    <n v="1492.48"/>
    <s v="Returning"/>
    <n v="0.04"/>
    <x v="2"/>
    <x v="1"/>
    <s v="South-Charlie"/>
    <n v="417.54999999999995"/>
    <n v="47759.360000000001"/>
    <n v="13361.599999999999"/>
  </r>
  <r>
    <n v="1080"/>
    <x v="3"/>
    <x v="0"/>
    <x v="1"/>
    <n v="1493.95"/>
    <n v="17"/>
    <x v="0"/>
    <n v="2742.67"/>
    <n v="2979.64"/>
    <s v="Returning"/>
    <n v="0.01"/>
    <x v="0"/>
    <x v="1"/>
    <s v="West-Bob"/>
    <n v="236.9699999999998"/>
    <n v="50653.88"/>
    <n v="4028.4899999999966"/>
  </r>
  <r>
    <n v="1082"/>
    <x v="84"/>
    <x v="4"/>
    <x v="2"/>
    <n v="6261.9"/>
    <n v="41"/>
    <x v="3"/>
    <n v="1196.42"/>
    <n v="1444.97"/>
    <s v="Returning"/>
    <n v="0.21"/>
    <x v="1"/>
    <x v="0"/>
    <s v="South-Alice"/>
    <n v="248.54999999999995"/>
    <n v="59243.770000000004"/>
    <n v="10190.549999999997"/>
  </r>
  <r>
    <n v="1053"/>
    <x v="28"/>
    <x v="0"/>
    <x v="2"/>
    <n v="7835.09"/>
    <n v="36"/>
    <x v="2"/>
    <n v="4252.17"/>
    <n v="4720.2700000000004"/>
    <s v="New"/>
    <n v="0.09"/>
    <x v="0"/>
    <x v="1"/>
    <s v="South-Bob"/>
    <n v="468.10000000000036"/>
    <n v="169929.72000000003"/>
    <n v="16851.600000000013"/>
  </r>
  <r>
    <n v="1024"/>
    <x v="85"/>
    <x v="3"/>
    <x v="2"/>
    <n v="5825.15"/>
    <n v="46"/>
    <x v="3"/>
    <n v="2016.49"/>
    <n v="2338.66"/>
    <s v="Returning"/>
    <n v="0.19"/>
    <x v="1"/>
    <x v="1"/>
    <s v="South-Eve"/>
    <n v="322.16999999999985"/>
    <n v="107578.35999999999"/>
    <n v="14819.819999999992"/>
  </r>
  <r>
    <n v="1026"/>
    <x v="86"/>
    <x v="4"/>
    <x v="1"/>
    <n v="1554.93"/>
    <n v="19"/>
    <x v="3"/>
    <n v="1265.48"/>
    <n v="1715.83"/>
    <s v="New"/>
    <n v="0.05"/>
    <x v="2"/>
    <x v="1"/>
    <s v="West-Alice"/>
    <n v="450.34999999999991"/>
    <n v="32600.769999999997"/>
    <n v="8556.6499999999978"/>
  </r>
  <r>
    <n v="1089"/>
    <x v="58"/>
    <x v="2"/>
    <x v="0"/>
    <n v="8130.13"/>
    <n v="35"/>
    <x v="2"/>
    <n v="4071.01"/>
    <n v="4304.7"/>
    <s v="New"/>
    <n v="0.14000000000000001"/>
    <x v="2"/>
    <x v="0"/>
    <s v="North-Charlie"/>
    <n v="233.6899999999996"/>
    <n v="150664.5"/>
    <n v="8179.149999999986"/>
  </r>
  <r>
    <n v="1060"/>
    <x v="87"/>
    <x v="0"/>
    <x v="1"/>
    <n v="6395.95"/>
    <n v="46"/>
    <x v="2"/>
    <n v="1747.05"/>
    <n v="1830.27"/>
    <s v="New"/>
    <n v="0.15"/>
    <x v="1"/>
    <x v="1"/>
    <s v="West-Bob"/>
    <n v="83.220000000000027"/>
    <n v="84192.42"/>
    <n v="3828.1200000000013"/>
  </r>
  <r>
    <n v="1041"/>
    <x v="10"/>
    <x v="1"/>
    <x v="2"/>
    <n v="3942.84"/>
    <n v="40"/>
    <x v="1"/>
    <n v="601.86"/>
    <n v="1067.53"/>
    <s v="New"/>
    <n v="0.18"/>
    <x v="0"/>
    <x v="0"/>
    <s v="South-David"/>
    <n v="465.66999999999996"/>
    <n v="42701.2"/>
    <n v="18626.8"/>
  </r>
  <r>
    <n v="1029"/>
    <x v="88"/>
    <x v="1"/>
    <x v="3"/>
    <n v="6773.89"/>
    <n v="28"/>
    <x v="2"/>
    <n v="2873.53"/>
    <n v="3108.3"/>
    <s v="New"/>
    <n v="0.15"/>
    <x v="2"/>
    <x v="1"/>
    <s v="East-David"/>
    <n v="234.76999999999998"/>
    <n v="87032.400000000009"/>
    <n v="6573.5599999999995"/>
  </r>
  <r>
    <n v="1015"/>
    <x v="10"/>
    <x v="3"/>
    <x v="3"/>
    <n v="2673.06"/>
    <n v="1"/>
    <x v="0"/>
    <n v="2928.74"/>
    <n v="3027.74"/>
    <s v="New"/>
    <n v="0.15"/>
    <x v="1"/>
    <x v="1"/>
    <s v="East-Eve"/>
    <n v="99"/>
    <n v="3027.74"/>
    <n v="99"/>
  </r>
  <r>
    <n v="1045"/>
    <x v="89"/>
    <x v="1"/>
    <x v="2"/>
    <n v="3517.4"/>
    <n v="42"/>
    <x v="2"/>
    <n v="3587.74"/>
    <n v="3745.91"/>
    <s v="Returning"/>
    <n v="0.1"/>
    <x v="0"/>
    <x v="0"/>
    <s v="South-David"/>
    <n v="158.17000000000007"/>
    <n v="157328.22"/>
    <n v="6643.1400000000031"/>
  </r>
  <r>
    <n v="1065"/>
    <x v="90"/>
    <x v="0"/>
    <x v="3"/>
    <n v="9183.11"/>
    <n v="18"/>
    <x v="1"/>
    <n v="1239.0899999999999"/>
    <n v="1273.98"/>
    <s v="New"/>
    <n v="0.02"/>
    <x v="1"/>
    <x v="1"/>
    <s v="East-Bob"/>
    <n v="34.8900000000001"/>
    <n v="22931.64"/>
    <n v="628.0200000000018"/>
  </r>
  <r>
    <n v="1089"/>
    <x v="91"/>
    <x v="0"/>
    <x v="2"/>
    <n v="2975.99"/>
    <n v="48"/>
    <x v="1"/>
    <n v="2246.67"/>
    <n v="2486.14"/>
    <s v="New"/>
    <n v="0.03"/>
    <x v="0"/>
    <x v="1"/>
    <s v="South-Bob"/>
    <n v="239.4699999999998"/>
    <n v="119334.72"/>
    <n v="11494.55999999999"/>
  </r>
  <r>
    <n v="1071"/>
    <x v="92"/>
    <x v="1"/>
    <x v="3"/>
    <n v="4752.88"/>
    <n v="40"/>
    <x v="1"/>
    <n v="1447.72"/>
    <n v="1875.75"/>
    <s v="New"/>
    <n v="0.13"/>
    <x v="0"/>
    <x v="1"/>
    <s v="East-David"/>
    <n v="428.03"/>
    <n v="75030"/>
    <n v="17121.199999999997"/>
  </r>
  <r>
    <n v="1009"/>
    <x v="14"/>
    <x v="0"/>
    <x v="1"/>
    <n v="8912.4"/>
    <n v="33"/>
    <x v="2"/>
    <n v="450.72"/>
    <n v="918.17000000000007"/>
    <s v="Returning"/>
    <n v="0.11"/>
    <x v="0"/>
    <x v="0"/>
    <s v="West-Bob"/>
    <n v="467.45000000000005"/>
    <n v="30299.61"/>
    <n v="15425.850000000002"/>
  </r>
  <r>
    <n v="1088"/>
    <x v="93"/>
    <x v="3"/>
    <x v="0"/>
    <n v="7106.44"/>
    <n v="12"/>
    <x v="2"/>
    <n v="4389.24"/>
    <n v="4856.2199999999993"/>
    <s v="Returning"/>
    <n v="0.15"/>
    <x v="0"/>
    <x v="1"/>
    <s v="North-Eve"/>
    <n v="466.97999999999956"/>
    <n v="58274.639999999992"/>
    <n v="5603.7599999999948"/>
  </r>
  <r>
    <n v="1001"/>
    <x v="94"/>
    <x v="4"/>
    <x v="0"/>
    <n v="715.81"/>
    <n v="8"/>
    <x v="3"/>
    <n v="3657.91"/>
    <n v="3729.27"/>
    <s v="New"/>
    <n v="0.09"/>
    <x v="1"/>
    <x v="1"/>
    <s v="North-Alice"/>
    <n v="71.360000000000127"/>
    <n v="29834.16"/>
    <n v="570.88000000000102"/>
  </r>
  <r>
    <n v="1008"/>
    <x v="95"/>
    <x v="3"/>
    <x v="1"/>
    <n v="1558.3"/>
    <n v="24"/>
    <x v="3"/>
    <n v="1542.24"/>
    <n v="1739.45"/>
    <s v="Returning"/>
    <n v="0.21"/>
    <x v="1"/>
    <x v="1"/>
    <s v="West-Eve"/>
    <n v="197.21000000000004"/>
    <n v="41746.800000000003"/>
    <n v="4733.0400000000009"/>
  </r>
  <r>
    <n v="1088"/>
    <x v="96"/>
    <x v="3"/>
    <x v="1"/>
    <n v="177.63"/>
    <n v="16"/>
    <x v="0"/>
    <n v="3016.9"/>
    <n v="3040.73"/>
    <s v="New"/>
    <n v="0.26"/>
    <x v="1"/>
    <x v="1"/>
    <s v="West-Eve"/>
    <n v="23.829999999999927"/>
    <n v="48651.68"/>
    <n v="381.27999999999884"/>
  </r>
  <r>
    <n v="1063"/>
    <x v="97"/>
    <x v="0"/>
    <x v="2"/>
    <n v="6346.13"/>
    <n v="4"/>
    <x v="3"/>
    <n v="1046.26"/>
    <n v="1475.29"/>
    <s v="Returning"/>
    <n v="0.09"/>
    <x v="1"/>
    <x v="1"/>
    <s v="South-Bob"/>
    <n v="429.03"/>
    <n v="5901.16"/>
    <n v="1716.12"/>
  </r>
  <r>
    <n v="1011"/>
    <x v="98"/>
    <x v="4"/>
    <x v="2"/>
    <n v="4531.97"/>
    <n v="38"/>
    <x v="0"/>
    <n v="4456.67"/>
    <n v="4642.46"/>
    <s v="New"/>
    <n v="0.06"/>
    <x v="1"/>
    <x v="0"/>
    <s v="South-Alice"/>
    <n v="185.78999999999996"/>
    <n v="176413.48"/>
    <n v="7060.0199999999986"/>
  </r>
  <r>
    <n v="1081"/>
    <x v="99"/>
    <x v="0"/>
    <x v="2"/>
    <n v="1429.32"/>
    <n v="44"/>
    <x v="1"/>
    <n v="618.79"/>
    <n v="938.04"/>
    <s v="Returning"/>
    <n v="0.03"/>
    <x v="0"/>
    <x v="0"/>
    <s v="South-Bob"/>
    <n v="319.25"/>
    <n v="41273.759999999995"/>
    <n v="14047"/>
  </r>
  <r>
    <n v="1008"/>
    <x v="100"/>
    <x v="2"/>
    <x v="3"/>
    <n v="9583.5499999999993"/>
    <n v="27"/>
    <x v="3"/>
    <n v="68.989999999999995"/>
    <n v="429.29"/>
    <s v="Returning"/>
    <n v="0.18"/>
    <x v="2"/>
    <x v="1"/>
    <s v="East-Charlie"/>
    <n v="360.3"/>
    <n v="11590.83"/>
    <n v="9728.1"/>
  </r>
  <r>
    <n v="1035"/>
    <x v="101"/>
    <x v="0"/>
    <x v="2"/>
    <n v="5343.63"/>
    <n v="9"/>
    <x v="2"/>
    <n v="2534.94"/>
    <n v="2755.56"/>
    <s v="Returning"/>
    <n v="0.13"/>
    <x v="2"/>
    <x v="1"/>
    <s v="South-Bob"/>
    <n v="220.61999999999989"/>
    <n v="24800.04"/>
    <n v="1985.579999999999"/>
  </r>
  <r>
    <n v="1035"/>
    <x v="42"/>
    <x v="0"/>
    <x v="1"/>
    <n v="2494.7399999999998"/>
    <n v="47"/>
    <x v="3"/>
    <n v="2936.48"/>
    <n v="3096.64"/>
    <s v="New"/>
    <n v="0.06"/>
    <x v="1"/>
    <x v="0"/>
    <s v="West-Bob"/>
    <n v="160.15999999999985"/>
    <n v="145542.07999999999"/>
    <n v="7527.5199999999932"/>
  </r>
  <r>
    <n v="1033"/>
    <x v="102"/>
    <x v="0"/>
    <x v="0"/>
    <n v="5055.9799999999996"/>
    <n v="16"/>
    <x v="0"/>
    <n v="2915.88"/>
    <n v="3397.36"/>
    <s v="New"/>
    <n v="0.2"/>
    <x v="1"/>
    <x v="1"/>
    <s v="North-Bob"/>
    <n v="481.48"/>
    <n v="54357.760000000002"/>
    <n v="7703.68"/>
  </r>
  <r>
    <n v="1005"/>
    <x v="103"/>
    <x v="4"/>
    <x v="3"/>
    <n v="6828.24"/>
    <n v="12"/>
    <x v="3"/>
    <n v="319.83"/>
    <n v="802.43000000000006"/>
    <s v="New"/>
    <n v="0.04"/>
    <x v="2"/>
    <x v="1"/>
    <s v="East-Alice"/>
    <n v="482.60000000000008"/>
    <n v="9629.16"/>
    <n v="5791.2000000000007"/>
  </r>
  <r>
    <n v="1041"/>
    <x v="104"/>
    <x v="0"/>
    <x v="2"/>
    <n v="854.77"/>
    <n v="31"/>
    <x v="1"/>
    <n v="1604.52"/>
    <n v="1756.34"/>
    <s v="Returning"/>
    <n v="0.17"/>
    <x v="0"/>
    <x v="1"/>
    <s v="South-Bob"/>
    <n v="151.81999999999994"/>
    <n v="54446.54"/>
    <n v="4706.4199999999983"/>
  </r>
  <r>
    <n v="1028"/>
    <x v="5"/>
    <x v="4"/>
    <x v="3"/>
    <n v="2819.57"/>
    <n v="24"/>
    <x v="2"/>
    <n v="2521.0300000000002"/>
    <n v="2766.05"/>
    <s v="Returning"/>
    <n v="0.16"/>
    <x v="1"/>
    <x v="1"/>
    <s v="East-Alice"/>
    <n v="245.01999999999998"/>
    <n v="66385.200000000012"/>
    <n v="5880.48"/>
  </r>
  <r>
    <n v="1007"/>
    <x v="103"/>
    <x v="1"/>
    <x v="3"/>
    <n v="8088.96"/>
    <n v="14"/>
    <x v="0"/>
    <n v="1122.07"/>
    <n v="1608.76"/>
    <s v="New"/>
    <n v="0.22"/>
    <x v="0"/>
    <x v="1"/>
    <s v="East-David"/>
    <n v="486.69000000000005"/>
    <n v="22522.639999999999"/>
    <n v="6813.6600000000008"/>
  </r>
  <r>
    <n v="1073"/>
    <x v="87"/>
    <x v="2"/>
    <x v="2"/>
    <n v="4650.68"/>
    <n v="45"/>
    <x v="2"/>
    <n v="4369.5"/>
    <n v="4381.8900000000003"/>
    <s v="Returning"/>
    <n v="0.02"/>
    <x v="2"/>
    <x v="1"/>
    <s v="South-Charlie"/>
    <n v="12.390000000000327"/>
    <n v="197185.05000000002"/>
    <n v="557.55000000001473"/>
  </r>
  <r>
    <n v="1072"/>
    <x v="90"/>
    <x v="4"/>
    <x v="3"/>
    <n v="5511.11"/>
    <n v="25"/>
    <x v="2"/>
    <n v="481.19"/>
    <n v="693.4"/>
    <s v="New"/>
    <n v="0.27"/>
    <x v="2"/>
    <x v="1"/>
    <s v="East-Alice"/>
    <n v="212.20999999999998"/>
    <n v="17335"/>
    <n v="5305.2499999999991"/>
  </r>
  <r>
    <n v="1012"/>
    <x v="105"/>
    <x v="1"/>
    <x v="0"/>
    <n v="4384.88"/>
    <n v="34"/>
    <x v="0"/>
    <n v="2462.5500000000002"/>
    <n v="2521.77"/>
    <s v="New"/>
    <n v="0.21"/>
    <x v="1"/>
    <x v="1"/>
    <s v="North-David"/>
    <n v="59.2199999999998"/>
    <n v="85740.18"/>
    <n v="2013.4799999999932"/>
  </r>
  <r>
    <n v="1034"/>
    <x v="106"/>
    <x v="4"/>
    <x v="1"/>
    <n v="534.61"/>
    <n v="3"/>
    <x v="2"/>
    <n v="3472.51"/>
    <n v="3732"/>
    <s v="New"/>
    <n v="0.06"/>
    <x v="0"/>
    <x v="0"/>
    <s v="West-Alice"/>
    <n v="259.48999999999978"/>
    <n v="11196"/>
    <n v="778.46999999999935"/>
  </r>
  <r>
    <n v="1033"/>
    <x v="107"/>
    <x v="4"/>
    <x v="1"/>
    <n v="1740.92"/>
    <n v="24"/>
    <x v="2"/>
    <n v="1345.67"/>
    <n v="1367.76"/>
    <s v="New"/>
    <n v="0.06"/>
    <x v="1"/>
    <x v="0"/>
    <s v="West-Alice"/>
    <n v="22.089999999999918"/>
    <n v="32826.239999999998"/>
    <n v="530.15999999999804"/>
  </r>
  <r>
    <n v="1048"/>
    <x v="108"/>
    <x v="2"/>
    <x v="0"/>
    <n v="4510.8599999999997"/>
    <n v="42"/>
    <x v="3"/>
    <n v="3139.99"/>
    <n v="3349.37"/>
    <s v="Returning"/>
    <n v="0.13"/>
    <x v="2"/>
    <x v="1"/>
    <s v="North-Charlie"/>
    <n v="209.38000000000011"/>
    <n v="140673.54"/>
    <n v="8793.9600000000046"/>
  </r>
  <r>
    <n v="1023"/>
    <x v="109"/>
    <x v="3"/>
    <x v="3"/>
    <n v="2170.94"/>
    <n v="9"/>
    <x v="2"/>
    <n v="4155.46"/>
    <n v="4273.6000000000004"/>
    <s v="Returning"/>
    <n v="0.25"/>
    <x v="0"/>
    <x v="1"/>
    <s v="East-Eve"/>
    <n v="118.14000000000033"/>
    <n v="38462.400000000001"/>
    <n v="1063.2600000000029"/>
  </r>
  <r>
    <n v="1062"/>
    <x v="110"/>
    <x v="3"/>
    <x v="2"/>
    <n v="594.79"/>
    <n v="26"/>
    <x v="2"/>
    <n v="992.17"/>
    <n v="1263.49"/>
    <s v="Returning"/>
    <n v="0.25"/>
    <x v="1"/>
    <x v="1"/>
    <s v="South-Eve"/>
    <n v="271.32000000000005"/>
    <n v="32850.74"/>
    <n v="7054.3200000000015"/>
  </r>
  <r>
    <n v="1088"/>
    <x v="111"/>
    <x v="4"/>
    <x v="3"/>
    <n v="8452.1299999999992"/>
    <n v="20"/>
    <x v="2"/>
    <n v="4590.24"/>
    <n v="5088.28"/>
    <s v="New"/>
    <n v="0.16"/>
    <x v="1"/>
    <x v="1"/>
    <s v="East-Alice"/>
    <n v="498.03999999999996"/>
    <n v="101765.59999999999"/>
    <n v="9960.7999999999993"/>
  </r>
  <r>
    <n v="1037"/>
    <x v="112"/>
    <x v="0"/>
    <x v="0"/>
    <n v="9813.81"/>
    <n v="40"/>
    <x v="2"/>
    <n v="2790.11"/>
    <n v="3192.37"/>
    <s v="Returning"/>
    <n v="0.26"/>
    <x v="1"/>
    <x v="0"/>
    <s v="North-Bob"/>
    <n v="402.25999999999976"/>
    <n v="127694.79999999999"/>
    <n v="16090.399999999991"/>
  </r>
  <r>
    <n v="1099"/>
    <x v="113"/>
    <x v="1"/>
    <x v="3"/>
    <n v="7952.11"/>
    <n v="10"/>
    <x v="0"/>
    <n v="1531.2"/>
    <n v="1955.56"/>
    <s v="New"/>
    <n v="0"/>
    <x v="2"/>
    <x v="0"/>
    <s v="East-David"/>
    <n v="424.3599999999999"/>
    <n v="19555.599999999999"/>
    <n v="4243.5999999999985"/>
  </r>
  <r>
    <n v="1044"/>
    <x v="114"/>
    <x v="0"/>
    <x v="1"/>
    <n v="8552.4699999999993"/>
    <n v="19"/>
    <x v="1"/>
    <n v="2182.75"/>
    <n v="2504.0299999999997"/>
    <s v="New"/>
    <n v="0.01"/>
    <x v="1"/>
    <x v="0"/>
    <s v="West-Bob"/>
    <n v="321.27999999999975"/>
    <n v="47576.569999999992"/>
    <n v="6104.3199999999952"/>
  </r>
  <r>
    <n v="1086"/>
    <x v="115"/>
    <x v="0"/>
    <x v="3"/>
    <n v="2495.5700000000002"/>
    <n v="3"/>
    <x v="3"/>
    <n v="1595.35"/>
    <n v="1625.7099999999998"/>
    <s v="New"/>
    <n v="0.27"/>
    <x v="0"/>
    <x v="0"/>
    <s v="East-Bob"/>
    <n v="30.3599999999999"/>
    <n v="4877.1299999999992"/>
    <n v="91.0799999999997"/>
  </r>
  <r>
    <n v="1091"/>
    <x v="116"/>
    <x v="4"/>
    <x v="0"/>
    <n v="9610.2099999999991"/>
    <n v="24"/>
    <x v="2"/>
    <n v="3639.3"/>
    <n v="3750.63"/>
    <s v="New"/>
    <n v="0.23"/>
    <x v="1"/>
    <x v="1"/>
    <s v="North-Alice"/>
    <n v="111.32999999999993"/>
    <n v="90015.12"/>
    <n v="2671.9199999999983"/>
  </r>
  <r>
    <n v="1035"/>
    <x v="53"/>
    <x v="4"/>
    <x v="1"/>
    <n v="2049.56"/>
    <n v="5"/>
    <x v="2"/>
    <n v="3991.69"/>
    <n v="4454.97"/>
    <s v="New"/>
    <n v="0.14000000000000001"/>
    <x v="2"/>
    <x v="1"/>
    <s v="West-Alice"/>
    <n v="463.2800000000002"/>
    <n v="22274.850000000002"/>
    <n v="2316.400000000001"/>
  </r>
  <r>
    <n v="1065"/>
    <x v="117"/>
    <x v="4"/>
    <x v="3"/>
    <n v="9519.16"/>
    <n v="3"/>
    <x v="0"/>
    <n v="4173.04"/>
    <n v="4362.4399999999996"/>
    <s v="New"/>
    <n v="0.23"/>
    <x v="1"/>
    <x v="1"/>
    <s v="East-Alice"/>
    <n v="189.39999999999964"/>
    <n v="13087.32"/>
    <n v="568.19999999999891"/>
  </r>
  <r>
    <n v="1099"/>
    <x v="106"/>
    <x v="4"/>
    <x v="3"/>
    <n v="9948.7099999999991"/>
    <n v="27"/>
    <x v="1"/>
    <n v="4929.55"/>
    <n v="4990.33"/>
    <s v="Returning"/>
    <n v="0.28999999999999998"/>
    <x v="2"/>
    <x v="0"/>
    <s v="East-Alice"/>
    <n v="60.779999999999745"/>
    <n v="134738.91"/>
    <n v="1641.0599999999931"/>
  </r>
  <r>
    <n v="1047"/>
    <x v="106"/>
    <x v="3"/>
    <x v="1"/>
    <n v="7146.06"/>
    <n v="16"/>
    <x v="2"/>
    <n v="3966.86"/>
    <n v="4321.04"/>
    <s v="Returning"/>
    <n v="0.23"/>
    <x v="2"/>
    <x v="1"/>
    <s v="West-Eve"/>
    <n v="354.17999999999984"/>
    <n v="69136.639999999999"/>
    <n v="5666.8799999999974"/>
  </r>
  <r>
    <n v="1078"/>
    <x v="118"/>
    <x v="4"/>
    <x v="2"/>
    <n v="9813.32"/>
    <n v="49"/>
    <x v="0"/>
    <n v="3026.85"/>
    <n v="3183.58"/>
    <s v="Returning"/>
    <n v="0.25"/>
    <x v="0"/>
    <x v="1"/>
    <s v="South-Alice"/>
    <n v="156.73000000000002"/>
    <n v="155995.41999999998"/>
    <n v="7679.77"/>
  </r>
  <r>
    <n v="1003"/>
    <x v="18"/>
    <x v="3"/>
    <x v="1"/>
    <n v="5738.44"/>
    <n v="15"/>
    <x v="3"/>
    <n v="1729.14"/>
    <n v="1870.88"/>
    <s v="Returning"/>
    <n v="0.23"/>
    <x v="0"/>
    <x v="0"/>
    <s v="West-Eve"/>
    <n v="141.74"/>
    <n v="28063.200000000001"/>
    <n v="2126.1000000000004"/>
  </r>
  <r>
    <n v="1001"/>
    <x v="39"/>
    <x v="3"/>
    <x v="2"/>
    <n v="2669.46"/>
    <n v="35"/>
    <x v="3"/>
    <n v="2745.75"/>
    <n v="3244.76"/>
    <s v="New"/>
    <n v="0.05"/>
    <x v="1"/>
    <x v="0"/>
    <s v="South-Eve"/>
    <n v="499.01000000000022"/>
    <n v="113566.6"/>
    <n v="17465.350000000006"/>
  </r>
  <r>
    <n v="1005"/>
    <x v="119"/>
    <x v="4"/>
    <x v="0"/>
    <n v="4426.26"/>
    <n v="12"/>
    <x v="2"/>
    <n v="253.29"/>
    <n v="683.78"/>
    <s v="New"/>
    <n v="0.25"/>
    <x v="2"/>
    <x v="0"/>
    <s v="North-Alice"/>
    <n v="430.49"/>
    <n v="8205.36"/>
    <n v="5165.88"/>
  </r>
  <r>
    <n v="1090"/>
    <x v="109"/>
    <x v="2"/>
    <x v="0"/>
    <n v="5976.25"/>
    <n v="41"/>
    <x v="2"/>
    <n v="3736.88"/>
    <n v="3946.77"/>
    <s v="Returning"/>
    <n v="0.06"/>
    <x v="2"/>
    <x v="0"/>
    <s v="North-Charlie"/>
    <n v="209.88999999999987"/>
    <n v="161817.57"/>
    <n v="8605.4899999999943"/>
  </r>
  <r>
    <n v="1014"/>
    <x v="5"/>
    <x v="1"/>
    <x v="1"/>
    <n v="823.51"/>
    <n v="44"/>
    <x v="1"/>
    <n v="2257.48"/>
    <n v="2747.81"/>
    <s v="Returning"/>
    <n v="0.27"/>
    <x v="0"/>
    <x v="0"/>
    <s v="West-David"/>
    <n v="490.32999999999993"/>
    <n v="120903.64"/>
    <n v="21574.519999999997"/>
  </r>
  <r>
    <n v="1027"/>
    <x v="120"/>
    <x v="0"/>
    <x v="1"/>
    <n v="6261.2"/>
    <n v="26"/>
    <x v="1"/>
    <n v="149.11000000000001"/>
    <n v="477.67"/>
    <s v="Returning"/>
    <n v="0.14000000000000001"/>
    <x v="0"/>
    <x v="1"/>
    <s v="West-Bob"/>
    <n v="328.56"/>
    <n v="12419.42"/>
    <n v="8542.56"/>
  </r>
  <r>
    <n v="1009"/>
    <x v="1"/>
    <x v="3"/>
    <x v="0"/>
    <n v="9813.66"/>
    <n v="47"/>
    <x v="2"/>
    <n v="359.41"/>
    <n v="733"/>
    <s v="Returning"/>
    <n v="0.2"/>
    <x v="1"/>
    <x v="1"/>
    <s v="North-Eve"/>
    <n v="373.59"/>
    <n v="34451"/>
    <n v="17558.73"/>
  </r>
  <r>
    <n v="1079"/>
    <x v="121"/>
    <x v="1"/>
    <x v="2"/>
    <n v="1982.07"/>
    <n v="34"/>
    <x v="0"/>
    <n v="1967.96"/>
    <n v="1993.4"/>
    <s v="Returning"/>
    <n v="0.15"/>
    <x v="2"/>
    <x v="0"/>
    <s v="South-David"/>
    <n v="25.440000000000055"/>
    <n v="67775.600000000006"/>
    <n v="864.96000000000186"/>
  </r>
  <r>
    <n v="1015"/>
    <x v="15"/>
    <x v="2"/>
    <x v="0"/>
    <n v="7946.69"/>
    <n v="23"/>
    <x v="1"/>
    <n v="2937.94"/>
    <n v="3007.53"/>
    <s v="Returning"/>
    <n v="0.03"/>
    <x v="0"/>
    <x v="1"/>
    <s v="North-Charlie"/>
    <n v="69.590000000000146"/>
    <n v="69173.19"/>
    <n v="1600.5700000000033"/>
  </r>
  <r>
    <n v="1090"/>
    <x v="122"/>
    <x v="0"/>
    <x v="1"/>
    <n v="9088.2000000000007"/>
    <n v="31"/>
    <x v="2"/>
    <n v="2347.81"/>
    <n v="2668.02"/>
    <s v="Returning"/>
    <n v="0.09"/>
    <x v="1"/>
    <x v="1"/>
    <s v="West-Bob"/>
    <n v="320.21000000000004"/>
    <n v="82708.62"/>
    <n v="9926.510000000002"/>
  </r>
  <r>
    <n v="1042"/>
    <x v="121"/>
    <x v="0"/>
    <x v="0"/>
    <n v="9442.65"/>
    <n v="20"/>
    <x v="1"/>
    <n v="3115.06"/>
    <n v="3565.58"/>
    <s v="Returning"/>
    <n v="0.3"/>
    <x v="2"/>
    <x v="1"/>
    <s v="North-Bob"/>
    <n v="450.52"/>
    <n v="71311.600000000006"/>
    <n v="9010.4"/>
  </r>
  <r>
    <n v="1077"/>
    <x v="61"/>
    <x v="3"/>
    <x v="1"/>
    <n v="9605.34"/>
    <n v="12"/>
    <x v="2"/>
    <n v="2427.46"/>
    <n v="2743.09"/>
    <s v="New"/>
    <n v="0.28999999999999998"/>
    <x v="2"/>
    <x v="1"/>
    <s v="West-Eve"/>
    <n v="315.63000000000011"/>
    <n v="32917.08"/>
    <n v="3787.5600000000013"/>
  </r>
  <r>
    <n v="1051"/>
    <x v="123"/>
    <x v="4"/>
    <x v="1"/>
    <n v="5262.45"/>
    <n v="23"/>
    <x v="3"/>
    <n v="3325.43"/>
    <n v="3401.1"/>
    <s v="New"/>
    <n v="0.1"/>
    <x v="0"/>
    <x v="0"/>
    <s v="West-Alice"/>
    <n v="75.670000000000073"/>
    <n v="78225.3"/>
    <n v="1740.4100000000017"/>
  </r>
  <r>
    <n v="1063"/>
    <x v="15"/>
    <x v="2"/>
    <x v="0"/>
    <n v="9775.35"/>
    <n v="4"/>
    <x v="2"/>
    <n v="1134.67"/>
    <n v="1201.3900000000001"/>
    <s v="New"/>
    <n v="0.3"/>
    <x v="1"/>
    <x v="1"/>
    <s v="North-Charlie"/>
    <n v="66.720000000000027"/>
    <n v="4805.5600000000004"/>
    <n v="266.88000000000011"/>
  </r>
  <r>
    <n v="1096"/>
    <x v="124"/>
    <x v="3"/>
    <x v="2"/>
    <n v="7597.37"/>
    <n v="23"/>
    <x v="3"/>
    <n v="608.57000000000005"/>
    <n v="1032.22"/>
    <s v="New"/>
    <n v="0.25"/>
    <x v="0"/>
    <x v="1"/>
    <s v="South-Eve"/>
    <n v="423.65"/>
    <n v="23741.06"/>
    <n v="9743.9499999999989"/>
  </r>
  <r>
    <n v="1052"/>
    <x v="125"/>
    <x v="2"/>
    <x v="3"/>
    <n v="1700.55"/>
    <n v="48"/>
    <x v="1"/>
    <n v="3002.35"/>
    <n v="3080.61"/>
    <s v="Returning"/>
    <n v="0.18"/>
    <x v="1"/>
    <x v="1"/>
    <s v="East-Charlie"/>
    <n v="78.260000000000218"/>
    <n v="147869.28"/>
    <n v="3756.4800000000105"/>
  </r>
  <r>
    <n v="1096"/>
    <x v="126"/>
    <x v="4"/>
    <x v="0"/>
    <n v="4821.3100000000004"/>
    <n v="48"/>
    <x v="2"/>
    <n v="2449.21"/>
    <n v="2714.12"/>
    <s v="New"/>
    <n v="0.01"/>
    <x v="2"/>
    <x v="0"/>
    <s v="North-Alice"/>
    <n v="264.90999999999985"/>
    <n v="130277.75999999999"/>
    <n v="12715.679999999993"/>
  </r>
  <r>
    <n v="1004"/>
    <x v="35"/>
    <x v="4"/>
    <x v="3"/>
    <n v="7211.48"/>
    <n v="1"/>
    <x v="1"/>
    <n v="182.99"/>
    <n v="211.18"/>
    <s v="Returning"/>
    <n v="0.27"/>
    <x v="1"/>
    <x v="1"/>
    <s v="East-Alice"/>
    <n v="28.189999999999998"/>
    <n v="211.18"/>
    <n v="28.189999999999998"/>
  </r>
  <r>
    <n v="1094"/>
    <x v="69"/>
    <x v="3"/>
    <x v="0"/>
    <n v="2548.67"/>
    <n v="25"/>
    <x v="3"/>
    <n v="1933.39"/>
    <n v="1982.92"/>
    <s v="New"/>
    <n v="0.17"/>
    <x v="1"/>
    <x v="0"/>
    <s v="North-Eve"/>
    <n v="49.529999999999973"/>
    <n v="49573"/>
    <n v="1238.2499999999993"/>
  </r>
  <r>
    <n v="1023"/>
    <x v="99"/>
    <x v="4"/>
    <x v="3"/>
    <n v="6442.09"/>
    <n v="2"/>
    <x v="2"/>
    <n v="575.32000000000005"/>
    <n v="914.77"/>
    <s v="Returning"/>
    <n v="0.26"/>
    <x v="1"/>
    <x v="0"/>
    <s v="East-Alice"/>
    <n v="339.44999999999993"/>
    <n v="1829.54"/>
    <n v="678.89999999999986"/>
  </r>
  <r>
    <n v="1015"/>
    <x v="127"/>
    <x v="1"/>
    <x v="2"/>
    <n v="6699.34"/>
    <n v="30"/>
    <x v="1"/>
    <n v="2680.22"/>
    <n v="3027.9199999999996"/>
    <s v="Returning"/>
    <n v="0.25"/>
    <x v="1"/>
    <x v="0"/>
    <s v="South-David"/>
    <n v="347.69999999999982"/>
    <n v="90837.599999999991"/>
    <n v="10430.999999999995"/>
  </r>
  <r>
    <n v="1043"/>
    <x v="128"/>
    <x v="0"/>
    <x v="2"/>
    <n v="1710.73"/>
    <n v="3"/>
    <x v="3"/>
    <n v="2009.1"/>
    <n v="2186.42"/>
    <s v="New"/>
    <n v="0.25"/>
    <x v="1"/>
    <x v="0"/>
    <s v="South-Bob"/>
    <n v="177.32000000000016"/>
    <n v="6559.26"/>
    <n v="531.96000000000049"/>
  </r>
  <r>
    <n v="1029"/>
    <x v="111"/>
    <x v="3"/>
    <x v="0"/>
    <n v="5694.34"/>
    <n v="21"/>
    <x v="1"/>
    <n v="3085.1"/>
    <n v="3200.75"/>
    <s v="New"/>
    <n v="0.21"/>
    <x v="0"/>
    <x v="1"/>
    <s v="North-Eve"/>
    <n v="115.65000000000009"/>
    <n v="67215.75"/>
    <n v="2428.6500000000019"/>
  </r>
  <r>
    <n v="1036"/>
    <x v="40"/>
    <x v="2"/>
    <x v="1"/>
    <n v="7739.11"/>
    <n v="25"/>
    <x v="0"/>
    <n v="4037.73"/>
    <n v="4446.45"/>
    <s v="Returning"/>
    <n v="0.09"/>
    <x v="1"/>
    <x v="0"/>
    <s v="West-Charlie"/>
    <n v="408.7199999999998"/>
    <n v="111161.25"/>
    <n v="10217.999999999995"/>
  </r>
  <r>
    <n v="1013"/>
    <x v="129"/>
    <x v="1"/>
    <x v="3"/>
    <n v="5039.07"/>
    <n v="20"/>
    <x v="3"/>
    <n v="1533.36"/>
    <n v="1649.7399999999998"/>
    <s v="Returning"/>
    <n v="0.1"/>
    <x v="1"/>
    <x v="0"/>
    <s v="East-David"/>
    <n v="116.37999999999988"/>
    <n v="32994.799999999996"/>
    <n v="2327.5999999999976"/>
  </r>
  <r>
    <n v="1032"/>
    <x v="130"/>
    <x v="3"/>
    <x v="1"/>
    <n v="219.82"/>
    <n v="49"/>
    <x v="3"/>
    <n v="4812.41"/>
    <n v="5088"/>
    <s v="Returning"/>
    <n v="0.09"/>
    <x v="2"/>
    <x v="0"/>
    <s v="West-Eve"/>
    <n v="275.59000000000015"/>
    <n v="249312"/>
    <n v="13503.910000000007"/>
  </r>
  <r>
    <n v="1071"/>
    <x v="131"/>
    <x v="4"/>
    <x v="1"/>
    <n v="189.48"/>
    <n v="22"/>
    <x v="3"/>
    <n v="2701.39"/>
    <n v="3185.81"/>
    <s v="New"/>
    <n v="0.01"/>
    <x v="1"/>
    <x v="0"/>
    <s v="West-Alice"/>
    <n v="484.42000000000007"/>
    <n v="70087.819999999992"/>
    <n v="10657.240000000002"/>
  </r>
  <r>
    <n v="1059"/>
    <x v="132"/>
    <x v="4"/>
    <x v="1"/>
    <n v="3634.59"/>
    <n v="21"/>
    <x v="2"/>
    <n v="3110.54"/>
    <n v="3192.99"/>
    <s v="New"/>
    <n v="0.17"/>
    <x v="2"/>
    <x v="0"/>
    <s v="West-Alice"/>
    <n v="82.449999999999818"/>
    <n v="67052.789999999994"/>
    <n v="1731.4499999999962"/>
  </r>
  <r>
    <n v="1086"/>
    <x v="13"/>
    <x v="4"/>
    <x v="2"/>
    <n v="9269.32"/>
    <n v="33"/>
    <x v="2"/>
    <n v="3419.33"/>
    <n v="3890.3599999999997"/>
    <s v="Returning"/>
    <n v="0.21"/>
    <x v="0"/>
    <x v="1"/>
    <s v="South-Alice"/>
    <n v="471.02999999999975"/>
    <n v="128381.87999999999"/>
    <n v="15543.989999999991"/>
  </r>
  <r>
    <n v="1028"/>
    <x v="133"/>
    <x v="4"/>
    <x v="0"/>
    <n v="2363.9"/>
    <n v="38"/>
    <x v="2"/>
    <n v="3350.32"/>
    <n v="3449.94"/>
    <s v="New"/>
    <n v="0.26"/>
    <x v="0"/>
    <x v="0"/>
    <s v="North-Alice"/>
    <n v="99.619999999999891"/>
    <n v="131097.72"/>
    <n v="3785.5599999999959"/>
  </r>
  <r>
    <n v="1066"/>
    <x v="134"/>
    <x v="2"/>
    <x v="0"/>
    <n v="6380.2"/>
    <n v="15"/>
    <x v="0"/>
    <n v="2579.31"/>
    <n v="2867.36"/>
    <s v="Returning"/>
    <n v="0.04"/>
    <x v="1"/>
    <x v="1"/>
    <s v="North-Charlie"/>
    <n v="288.05000000000018"/>
    <n v="43010.400000000001"/>
    <n v="4320.7500000000027"/>
  </r>
  <r>
    <n v="1042"/>
    <x v="120"/>
    <x v="1"/>
    <x v="2"/>
    <n v="2298.5500000000002"/>
    <n v="46"/>
    <x v="0"/>
    <n v="2172.38"/>
    <n v="2367.11"/>
    <s v="New"/>
    <n v="0.16"/>
    <x v="0"/>
    <x v="1"/>
    <s v="South-David"/>
    <n v="194.73000000000002"/>
    <n v="108887.06000000001"/>
    <n v="8957.5800000000017"/>
  </r>
  <r>
    <n v="1045"/>
    <x v="121"/>
    <x v="0"/>
    <x v="2"/>
    <n v="3284.53"/>
    <n v="15"/>
    <x v="3"/>
    <n v="316.22000000000003"/>
    <n v="799.04"/>
    <s v="New"/>
    <n v="0"/>
    <x v="1"/>
    <x v="0"/>
    <s v="South-Bob"/>
    <n v="482.81999999999994"/>
    <n v="11985.599999999999"/>
    <n v="7242.2999999999993"/>
  </r>
  <r>
    <n v="1062"/>
    <x v="135"/>
    <x v="2"/>
    <x v="0"/>
    <n v="8495.6200000000008"/>
    <n v="46"/>
    <x v="0"/>
    <n v="159.32"/>
    <n v="303.36"/>
    <s v="New"/>
    <n v="0.03"/>
    <x v="0"/>
    <x v="1"/>
    <s v="North-Charlie"/>
    <n v="144.04000000000002"/>
    <n v="13954.560000000001"/>
    <n v="6625.8400000000011"/>
  </r>
  <r>
    <n v="1057"/>
    <x v="70"/>
    <x v="2"/>
    <x v="1"/>
    <n v="7315.73"/>
    <n v="25"/>
    <x v="1"/>
    <n v="1821.91"/>
    <n v="2027.74"/>
    <s v="New"/>
    <n v="0.02"/>
    <x v="1"/>
    <x v="1"/>
    <s v="West-Charlie"/>
    <n v="205.82999999999993"/>
    <n v="50693.5"/>
    <n v="5145.7499999999982"/>
  </r>
  <r>
    <n v="1006"/>
    <x v="121"/>
    <x v="0"/>
    <x v="3"/>
    <n v="1044.45"/>
    <n v="21"/>
    <x v="3"/>
    <n v="1701.62"/>
    <n v="2193.2199999999998"/>
    <s v="New"/>
    <n v="0.22"/>
    <x v="1"/>
    <x v="1"/>
    <s v="East-Bob"/>
    <n v="491.59999999999991"/>
    <n v="46057.619999999995"/>
    <n v="10323.599999999999"/>
  </r>
  <r>
    <n v="1028"/>
    <x v="57"/>
    <x v="0"/>
    <x v="3"/>
    <n v="4344.1499999999996"/>
    <n v="24"/>
    <x v="3"/>
    <n v="1969.09"/>
    <n v="2241.96"/>
    <s v="Returning"/>
    <n v="0.02"/>
    <x v="2"/>
    <x v="0"/>
    <s v="East-Bob"/>
    <n v="272.87000000000012"/>
    <n v="53807.040000000001"/>
    <n v="6548.8800000000028"/>
  </r>
  <r>
    <n v="1028"/>
    <x v="50"/>
    <x v="4"/>
    <x v="3"/>
    <n v="388.78"/>
    <n v="5"/>
    <x v="1"/>
    <n v="734.92"/>
    <n v="991.21"/>
    <s v="Returning"/>
    <n v="0.21"/>
    <x v="2"/>
    <x v="0"/>
    <s v="East-Alice"/>
    <n v="256.29000000000008"/>
    <n v="4956.05"/>
    <n v="1281.4500000000003"/>
  </r>
  <r>
    <n v="1044"/>
    <x v="136"/>
    <x v="2"/>
    <x v="1"/>
    <n v="4860.8100000000004"/>
    <n v="6"/>
    <x v="3"/>
    <n v="3703.93"/>
    <n v="3840.24"/>
    <s v="New"/>
    <n v="7.0000000000000007E-2"/>
    <x v="2"/>
    <x v="0"/>
    <s v="West-Charlie"/>
    <n v="136.30999999999995"/>
    <n v="23041.439999999999"/>
    <n v="817.85999999999967"/>
  </r>
  <r>
    <n v="1084"/>
    <x v="46"/>
    <x v="3"/>
    <x v="0"/>
    <n v="6658.1"/>
    <n v="49"/>
    <x v="0"/>
    <n v="4291.97"/>
    <n v="4645.6400000000003"/>
    <s v="Returning"/>
    <n v="0.26"/>
    <x v="2"/>
    <x v="0"/>
    <s v="North-Eve"/>
    <n v="353.67000000000007"/>
    <n v="227636.36000000002"/>
    <n v="17329.830000000002"/>
  </r>
  <r>
    <n v="1030"/>
    <x v="75"/>
    <x v="0"/>
    <x v="2"/>
    <n v="1273.18"/>
    <n v="43"/>
    <x v="2"/>
    <n v="4696.6400000000003"/>
    <n v="4713.68"/>
    <s v="Returning"/>
    <n v="0.24"/>
    <x v="1"/>
    <x v="0"/>
    <s v="South-Bob"/>
    <n v="17.039999999999964"/>
    <n v="202688.24000000002"/>
    <n v="732.71999999999844"/>
  </r>
  <r>
    <n v="1062"/>
    <x v="25"/>
    <x v="0"/>
    <x v="0"/>
    <n v="2959.96"/>
    <n v="48"/>
    <x v="1"/>
    <n v="2487.19"/>
    <n v="2521.4500000000003"/>
    <s v="New"/>
    <n v="0.28999999999999998"/>
    <x v="0"/>
    <x v="0"/>
    <s v="North-Bob"/>
    <n v="34.260000000000218"/>
    <n v="121029.6"/>
    <n v="1644.4800000000105"/>
  </r>
  <r>
    <n v="1075"/>
    <x v="137"/>
    <x v="1"/>
    <x v="1"/>
    <n v="4038.58"/>
    <n v="44"/>
    <x v="0"/>
    <n v="3519.29"/>
    <n v="3822.98"/>
    <s v="Returning"/>
    <n v="0.27"/>
    <x v="1"/>
    <x v="0"/>
    <s v="West-David"/>
    <n v="303.69000000000005"/>
    <n v="168211.12"/>
    <n v="13362.360000000002"/>
  </r>
  <r>
    <n v="1092"/>
    <x v="30"/>
    <x v="3"/>
    <x v="2"/>
    <n v="9203.36"/>
    <n v="47"/>
    <x v="1"/>
    <n v="4284.9799999999996"/>
    <n v="4462.3999999999996"/>
    <s v="New"/>
    <n v="0.28000000000000003"/>
    <x v="2"/>
    <x v="1"/>
    <s v="South-Eve"/>
    <n v="177.42000000000007"/>
    <n v="209732.8"/>
    <n v="8338.7400000000034"/>
  </r>
  <r>
    <n v="1089"/>
    <x v="138"/>
    <x v="3"/>
    <x v="1"/>
    <n v="9933.2199999999993"/>
    <n v="23"/>
    <x v="1"/>
    <n v="2120.54"/>
    <n v="2597.67"/>
    <s v="Returning"/>
    <n v="0.26"/>
    <x v="2"/>
    <x v="1"/>
    <s v="West-Eve"/>
    <n v="477.13000000000011"/>
    <n v="59746.41"/>
    <n v="10973.990000000002"/>
  </r>
  <r>
    <n v="1062"/>
    <x v="9"/>
    <x v="0"/>
    <x v="3"/>
    <n v="544.62"/>
    <n v="4"/>
    <x v="3"/>
    <n v="1581.59"/>
    <n v="2034.1499999999999"/>
    <s v="Returning"/>
    <n v="0.21"/>
    <x v="0"/>
    <x v="0"/>
    <s v="East-Bob"/>
    <n v="452.55999999999995"/>
    <n v="8136.5999999999995"/>
    <n v="1810.2399999999998"/>
  </r>
  <r>
    <n v="1097"/>
    <x v="139"/>
    <x v="4"/>
    <x v="3"/>
    <n v="7633.98"/>
    <n v="27"/>
    <x v="3"/>
    <n v="4686.79"/>
    <n v="5046.51"/>
    <s v="Returning"/>
    <n v="0.05"/>
    <x v="2"/>
    <x v="1"/>
    <s v="East-Alice"/>
    <n v="359.72000000000025"/>
    <n v="136255.77000000002"/>
    <n v="9712.440000000006"/>
  </r>
  <r>
    <n v="1001"/>
    <x v="140"/>
    <x v="1"/>
    <x v="1"/>
    <n v="3780.07"/>
    <n v="18"/>
    <x v="0"/>
    <n v="2602.6"/>
    <n v="3013.49"/>
    <s v="Returning"/>
    <n v="0.08"/>
    <x v="1"/>
    <x v="0"/>
    <s v="West-David"/>
    <n v="410.88999999999987"/>
    <n v="54242.819999999992"/>
    <n v="7396.0199999999977"/>
  </r>
  <r>
    <n v="1027"/>
    <x v="83"/>
    <x v="3"/>
    <x v="2"/>
    <n v="3985.34"/>
    <n v="21"/>
    <x v="1"/>
    <n v="2511.41"/>
    <n v="2848.3999999999996"/>
    <s v="Returning"/>
    <n v="0.06"/>
    <x v="1"/>
    <x v="0"/>
    <s v="South-Eve"/>
    <n v="336.98999999999978"/>
    <n v="59816.399999999994"/>
    <n v="7076.7899999999954"/>
  </r>
  <r>
    <n v="1062"/>
    <x v="141"/>
    <x v="0"/>
    <x v="2"/>
    <n v="7567.22"/>
    <n v="28"/>
    <x v="3"/>
    <n v="933.16"/>
    <n v="1004.6999999999999"/>
    <s v="Returning"/>
    <n v="0.18"/>
    <x v="1"/>
    <x v="0"/>
    <s v="South-Bob"/>
    <n v="71.539999999999964"/>
    <n v="28131.599999999999"/>
    <n v="2003.119999999999"/>
  </r>
  <r>
    <n v="1077"/>
    <x v="142"/>
    <x v="3"/>
    <x v="0"/>
    <n v="9192.42"/>
    <n v="35"/>
    <x v="3"/>
    <n v="585.37"/>
    <n v="970.49"/>
    <s v="Returning"/>
    <n v="0.15"/>
    <x v="1"/>
    <x v="1"/>
    <s v="North-Eve"/>
    <n v="385.12"/>
    <n v="33967.15"/>
    <n v="13479.2"/>
  </r>
  <r>
    <n v="1003"/>
    <x v="124"/>
    <x v="1"/>
    <x v="3"/>
    <n v="9514.19"/>
    <n v="22"/>
    <x v="1"/>
    <n v="4218.43"/>
    <n v="4331.42"/>
    <s v="New"/>
    <n v="0.26"/>
    <x v="1"/>
    <x v="0"/>
    <s v="East-David"/>
    <n v="112.98999999999978"/>
    <n v="95291.24"/>
    <n v="2485.7799999999952"/>
  </r>
  <r>
    <n v="1070"/>
    <x v="128"/>
    <x v="1"/>
    <x v="0"/>
    <n v="5813.51"/>
    <n v="40"/>
    <x v="0"/>
    <n v="3089.96"/>
    <n v="3258.45"/>
    <s v="New"/>
    <n v="0.28999999999999998"/>
    <x v="0"/>
    <x v="0"/>
    <s v="North-David"/>
    <n v="168.48999999999978"/>
    <n v="130338"/>
    <n v="6739.5999999999913"/>
  </r>
  <r>
    <n v="1072"/>
    <x v="143"/>
    <x v="2"/>
    <x v="0"/>
    <n v="3635.5"/>
    <n v="23"/>
    <x v="0"/>
    <n v="1662.83"/>
    <n v="2074.25"/>
    <s v="New"/>
    <n v="0.12"/>
    <x v="1"/>
    <x v="0"/>
    <s v="North-Charlie"/>
    <n v="411.42000000000007"/>
    <n v="47707.75"/>
    <n v="9462.6600000000017"/>
  </r>
  <r>
    <n v="1027"/>
    <x v="61"/>
    <x v="0"/>
    <x v="1"/>
    <n v="7896.74"/>
    <n v="3"/>
    <x v="1"/>
    <n v="999.09"/>
    <n v="1271.99"/>
    <s v="New"/>
    <n v="0.15"/>
    <x v="2"/>
    <x v="0"/>
    <s v="West-Bob"/>
    <n v="272.89999999999998"/>
    <n v="3815.9700000000003"/>
    <n v="818.69999999999993"/>
  </r>
  <r>
    <n v="1009"/>
    <x v="39"/>
    <x v="1"/>
    <x v="1"/>
    <n v="2584.91"/>
    <n v="40"/>
    <x v="0"/>
    <n v="2799.71"/>
    <n v="3231.08"/>
    <s v="Returning"/>
    <n v="0.28999999999999998"/>
    <x v="2"/>
    <x v="1"/>
    <s v="West-David"/>
    <n v="431.36999999999989"/>
    <n v="129243.2"/>
    <n v="17254.799999999996"/>
  </r>
  <r>
    <n v="1062"/>
    <x v="144"/>
    <x v="2"/>
    <x v="0"/>
    <n v="5684.33"/>
    <n v="10"/>
    <x v="3"/>
    <n v="2940.4"/>
    <n v="3054.79"/>
    <s v="Returning"/>
    <n v="0.08"/>
    <x v="2"/>
    <x v="0"/>
    <s v="North-Charlie"/>
    <n v="114.38999999999987"/>
    <n v="30547.9"/>
    <n v="1143.8999999999987"/>
  </r>
  <r>
    <n v="1037"/>
    <x v="112"/>
    <x v="2"/>
    <x v="3"/>
    <n v="3649.93"/>
    <n v="25"/>
    <x v="1"/>
    <n v="1074.6199999999999"/>
    <n v="1382.4299999999998"/>
    <s v="Returning"/>
    <n v="0.24"/>
    <x v="2"/>
    <x v="1"/>
    <s v="East-Charlie"/>
    <n v="307.80999999999995"/>
    <n v="34560.749999999993"/>
    <n v="7695.2499999999982"/>
  </r>
  <r>
    <n v="1097"/>
    <x v="131"/>
    <x v="3"/>
    <x v="1"/>
    <n v="6600.65"/>
    <n v="49"/>
    <x v="3"/>
    <n v="4264.46"/>
    <n v="4315.5200000000004"/>
    <s v="New"/>
    <n v="7.0000000000000007E-2"/>
    <x v="0"/>
    <x v="1"/>
    <s v="West-Eve"/>
    <n v="51.0600000000004"/>
    <n v="211460.48000000001"/>
    <n v="2501.9400000000196"/>
  </r>
  <r>
    <n v="1051"/>
    <x v="145"/>
    <x v="3"/>
    <x v="0"/>
    <n v="2479.9499999999998"/>
    <n v="8"/>
    <x v="2"/>
    <n v="467.11"/>
    <n v="792.21"/>
    <s v="New"/>
    <n v="0.2"/>
    <x v="2"/>
    <x v="0"/>
    <s v="North-Eve"/>
    <n v="325.10000000000002"/>
    <n v="6337.68"/>
    <n v="2600.8000000000002"/>
  </r>
  <r>
    <n v="1044"/>
    <x v="146"/>
    <x v="2"/>
    <x v="0"/>
    <n v="1996.77"/>
    <n v="11"/>
    <x v="2"/>
    <n v="1812.66"/>
    <n v="2196.3000000000002"/>
    <s v="New"/>
    <n v="0.08"/>
    <x v="0"/>
    <x v="0"/>
    <s v="North-Charlie"/>
    <n v="383.6400000000001"/>
    <n v="24159.300000000003"/>
    <n v="4220.0400000000009"/>
  </r>
  <r>
    <n v="1024"/>
    <x v="147"/>
    <x v="3"/>
    <x v="0"/>
    <n v="9190.57"/>
    <n v="5"/>
    <x v="0"/>
    <n v="3417.9"/>
    <n v="3714.52"/>
    <s v="Returning"/>
    <n v="0.27"/>
    <x v="2"/>
    <x v="1"/>
    <s v="North-Eve"/>
    <n v="296.61999999999989"/>
    <n v="18572.599999999999"/>
    <n v="1483.0999999999995"/>
  </r>
  <r>
    <n v="1079"/>
    <x v="148"/>
    <x v="1"/>
    <x v="0"/>
    <n v="1107.8599999999999"/>
    <n v="45"/>
    <x v="2"/>
    <n v="1406.9"/>
    <n v="1547.3500000000001"/>
    <s v="New"/>
    <n v="0.17"/>
    <x v="0"/>
    <x v="1"/>
    <s v="North-David"/>
    <n v="140.45000000000005"/>
    <n v="69630.75"/>
    <n v="6320.2500000000018"/>
  </r>
  <r>
    <n v="1059"/>
    <x v="149"/>
    <x v="4"/>
    <x v="0"/>
    <n v="5108.9799999999996"/>
    <n v="37"/>
    <x v="3"/>
    <n v="4146.99"/>
    <n v="4172.3499999999995"/>
    <s v="Returning"/>
    <n v="0.06"/>
    <x v="0"/>
    <x v="1"/>
    <s v="North-Alice"/>
    <n v="25.359999999999673"/>
    <n v="154376.94999999998"/>
    <n v="938.31999999998789"/>
  </r>
  <r>
    <n v="1032"/>
    <x v="106"/>
    <x v="1"/>
    <x v="0"/>
    <n v="2286.44"/>
    <n v="45"/>
    <x v="2"/>
    <n v="3712.35"/>
    <n v="3780.88"/>
    <s v="New"/>
    <n v="7.0000000000000007E-2"/>
    <x v="0"/>
    <x v="1"/>
    <s v="North-David"/>
    <n v="68.5300000000002"/>
    <n v="170139.6"/>
    <n v="3083.850000000009"/>
  </r>
  <r>
    <n v="1096"/>
    <x v="150"/>
    <x v="2"/>
    <x v="1"/>
    <n v="485.41"/>
    <n v="38"/>
    <x v="3"/>
    <n v="3955.66"/>
    <n v="4270.59"/>
    <s v="Returning"/>
    <n v="0.15"/>
    <x v="2"/>
    <x v="0"/>
    <s v="West-Charlie"/>
    <n v="314.93000000000029"/>
    <n v="162282.42000000001"/>
    <n v="11967.340000000011"/>
  </r>
  <r>
    <n v="1088"/>
    <x v="1"/>
    <x v="2"/>
    <x v="3"/>
    <n v="456.59"/>
    <n v="29"/>
    <x v="0"/>
    <n v="639.58000000000004"/>
    <n v="1107.45"/>
    <s v="New"/>
    <n v="0.28999999999999998"/>
    <x v="0"/>
    <x v="1"/>
    <s v="East-Charlie"/>
    <n v="467.87"/>
    <n v="32116.050000000003"/>
    <n v="13568.23"/>
  </r>
  <r>
    <n v="1052"/>
    <x v="106"/>
    <x v="1"/>
    <x v="0"/>
    <n v="1834.7"/>
    <n v="5"/>
    <x v="0"/>
    <n v="745.71"/>
    <n v="856.91000000000008"/>
    <s v="Returning"/>
    <n v="0.23"/>
    <x v="1"/>
    <x v="1"/>
    <s v="North-David"/>
    <n v="111.20000000000005"/>
    <n v="4284.55"/>
    <n v="556.00000000000023"/>
  </r>
  <r>
    <n v="1062"/>
    <x v="94"/>
    <x v="3"/>
    <x v="2"/>
    <n v="8681.0300000000007"/>
    <n v="9"/>
    <x v="3"/>
    <n v="1468.05"/>
    <n v="1838.21"/>
    <s v="New"/>
    <n v="0.15"/>
    <x v="1"/>
    <x v="1"/>
    <s v="South-Eve"/>
    <n v="370.16000000000008"/>
    <n v="16543.89"/>
    <n v="3331.4400000000005"/>
  </r>
  <r>
    <n v="1058"/>
    <x v="151"/>
    <x v="3"/>
    <x v="1"/>
    <n v="2896.54"/>
    <n v="48"/>
    <x v="2"/>
    <n v="2614.48"/>
    <n v="3049.04"/>
    <s v="New"/>
    <n v="0.1"/>
    <x v="2"/>
    <x v="1"/>
    <s v="West-Eve"/>
    <n v="434.55999999999995"/>
    <n v="146353.91999999998"/>
    <n v="20858.879999999997"/>
  </r>
  <r>
    <n v="1052"/>
    <x v="64"/>
    <x v="2"/>
    <x v="1"/>
    <n v="9509.5499999999993"/>
    <n v="2"/>
    <x v="0"/>
    <n v="3752.68"/>
    <n v="4017.91"/>
    <s v="Returning"/>
    <n v="0.16"/>
    <x v="1"/>
    <x v="0"/>
    <s v="West-Charlie"/>
    <n v="265.23"/>
    <n v="8035.82"/>
    <n v="530.46"/>
  </r>
  <r>
    <n v="1012"/>
    <x v="50"/>
    <x v="0"/>
    <x v="0"/>
    <n v="5858.06"/>
    <n v="1"/>
    <x v="1"/>
    <n v="4190.83"/>
    <n v="4528.7699999999995"/>
    <s v="Returning"/>
    <n v="0.22"/>
    <x v="1"/>
    <x v="0"/>
    <s v="North-Bob"/>
    <n v="337.9399999999996"/>
    <n v="4528.7699999999995"/>
    <n v="337.9399999999996"/>
  </r>
  <r>
    <n v="1039"/>
    <x v="48"/>
    <x v="3"/>
    <x v="1"/>
    <n v="4422.4799999999996"/>
    <n v="40"/>
    <x v="0"/>
    <n v="3536.46"/>
    <n v="3945.82"/>
    <s v="New"/>
    <n v="0.24"/>
    <x v="1"/>
    <x v="0"/>
    <s v="West-Eve"/>
    <n v="409.36000000000013"/>
    <n v="157832.80000000002"/>
    <n v="16374.400000000005"/>
  </r>
  <r>
    <n v="1002"/>
    <x v="62"/>
    <x v="1"/>
    <x v="0"/>
    <n v="5842.88"/>
    <n v="30"/>
    <x v="2"/>
    <n v="4646.55"/>
    <n v="4784.28"/>
    <s v="Returning"/>
    <n v="0.1"/>
    <x v="2"/>
    <x v="1"/>
    <s v="North-David"/>
    <n v="137.72999999999956"/>
    <n v="143528.4"/>
    <n v="4131.8999999999869"/>
  </r>
  <r>
    <n v="1003"/>
    <x v="90"/>
    <x v="3"/>
    <x v="3"/>
    <n v="5215.3100000000004"/>
    <n v="11"/>
    <x v="1"/>
    <n v="3706.78"/>
    <n v="3862.26"/>
    <s v="New"/>
    <n v="0.22"/>
    <x v="2"/>
    <x v="1"/>
    <s v="East-Eve"/>
    <n v="155.48000000000002"/>
    <n v="42484.86"/>
    <n v="1710.2800000000002"/>
  </r>
  <r>
    <n v="1056"/>
    <x v="152"/>
    <x v="1"/>
    <x v="3"/>
    <n v="7611.88"/>
    <n v="28"/>
    <x v="2"/>
    <n v="1566.03"/>
    <n v="1576.34"/>
    <s v="Returning"/>
    <n v="0.2"/>
    <x v="1"/>
    <x v="0"/>
    <s v="East-David"/>
    <n v="10.309999999999945"/>
    <n v="44137.52"/>
    <n v="288.67999999999847"/>
  </r>
  <r>
    <n v="1081"/>
    <x v="153"/>
    <x v="2"/>
    <x v="1"/>
    <n v="2896.71"/>
    <n v="44"/>
    <x v="3"/>
    <n v="1362.15"/>
    <n v="1844.0700000000002"/>
    <s v="New"/>
    <n v="0.28999999999999998"/>
    <x v="2"/>
    <x v="0"/>
    <s v="West-Charlie"/>
    <n v="481.92000000000007"/>
    <n v="81139.08"/>
    <n v="21204.480000000003"/>
  </r>
  <r>
    <n v="1059"/>
    <x v="154"/>
    <x v="3"/>
    <x v="1"/>
    <n v="3595.2"/>
    <n v="12"/>
    <x v="1"/>
    <n v="3496.15"/>
    <n v="3955.75"/>
    <s v="Returning"/>
    <n v="0.28000000000000003"/>
    <x v="0"/>
    <x v="1"/>
    <s v="West-Eve"/>
    <n v="459.59999999999991"/>
    <n v="47469"/>
    <n v="5515.1999999999989"/>
  </r>
  <r>
    <n v="1002"/>
    <x v="155"/>
    <x v="1"/>
    <x v="2"/>
    <n v="8951.5300000000007"/>
    <n v="39"/>
    <x v="2"/>
    <n v="1004.71"/>
    <n v="1389.35"/>
    <s v="New"/>
    <n v="0.24"/>
    <x v="1"/>
    <x v="0"/>
    <s v="South-David"/>
    <n v="384.63999999999987"/>
    <n v="54184.649999999994"/>
    <n v="15000.959999999995"/>
  </r>
  <r>
    <n v="1002"/>
    <x v="156"/>
    <x v="2"/>
    <x v="1"/>
    <n v="9469.92"/>
    <n v="26"/>
    <x v="1"/>
    <n v="508.94"/>
    <n v="557.69000000000005"/>
    <s v="New"/>
    <n v="0.22"/>
    <x v="2"/>
    <x v="1"/>
    <s v="West-Charlie"/>
    <n v="48.750000000000057"/>
    <n v="14499.940000000002"/>
    <n v="1267.5000000000014"/>
  </r>
  <r>
    <n v="1092"/>
    <x v="157"/>
    <x v="0"/>
    <x v="2"/>
    <n v="8936.33"/>
    <n v="13"/>
    <x v="2"/>
    <n v="2684.5"/>
    <n v="2913.78"/>
    <s v="New"/>
    <n v="0.08"/>
    <x v="2"/>
    <x v="1"/>
    <s v="South-Bob"/>
    <n v="229.2800000000002"/>
    <n v="37879.14"/>
    <n v="2980.6400000000026"/>
  </r>
  <r>
    <n v="1054"/>
    <x v="87"/>
    <x v="1"/>
    <x v="3"/>
    <n v="4252.54"/>
    <n v="8"/>
    <x v="1"/>
    <n v="4117.13"/>
    <n v="4177.0600000000004"/>
    <s v="Returning"/>
    <n v="0.25"/>
    <x v="1"/>
    <x v="1"/>
    <s v="East-David"/>
    <n v="59.930000000000291"/>
    <n v="33416.480000000003"/>
    <n v="479.44000000000233"/>
  </r>
  <r>
    <n v="1087"/>
    <x v="158"/>
    <x v="0"/>
    <x v="3"/>
    <n v="7825.62"/>
    <n v="28"/>
    <x v="2"/>
    <n v="551.83000000000004"/>
    <n v="569.63"/>
    <s v="New"/>
    <n v="0.13"/>
    <x v="2"/>
    <x v="1"/>
    <s v="East-Bob"/>
    <n v="17.799999999999955"/>
    <n v="15949.64"/>
    <n v="498.39999999999873"/>
  </r>
  <r>
    <n v="1096"/>
    <x v="159"/>
    <x v="0"/>
    <x v="0"/>
    <n v="4815.72"/>
    <n v="30"/>
    <x v="3"/>
    <n v="3969.86"/>
    <n v="4281.79"/>
    <s v="Returning"/>
    <n v="0.08"/>
    <x v="1"/>
    <x v="1"/>
    <s v="North-Bob"/>
    <n v="311.92999999999984"/>
    <n v="128453.7"/>
    <n v="9357.8999999999942"/>
  </r>
  <r>
    <n v="1097"/>
    <x v="91"/>
    <x v="4"/>
    <x v="3"/>
    <n v="5025.6400000000003"/>
    <n v="9"/>
    <x v="1"/>
    <n v="4067.28"/>
    <n v="4548.09"/>
    <s v="Returning"/>
    <n v="0.12"/>
    <x v="2"/>
    <x v="1"/>
    <s v="East-Alice"/>
    <n v="480.80999999999995"/>
    <n v="40932.81"/>
    <n v="4327.2899999999991"/>
  </r>
  <r>
    <n v="1001"/>
    <x v="160"/>
    <x v="3"/>
    <x v="2"/>
    <n v="2126.33"/>
    <n v="39"/>
    <x v="1"/>
    <n v="2437.2600000000002"/>
    <n v="2889.67"/>
    <s v="Returning"/>
    <n v="0.25"/>
    <x v="0"/>
    <x v="0"/>
    <s v="South-Eve"/>
    <n v="452.40999999999985"/>
    <n v="112697.13"/>
    <n v="17643.989999999994"/>
  </r>
  <r>
    <n v="1019"/>
    <x v="146"/>
    <x v="1"/>
    <x v="1"/>
    <n v="5952.19"/>
    <n v="31"/>
    <x v="1"/>
    <n v="333.69"/>
    <n v="685.1"/>
    <s v="New"/>
    <n v="0.04"/>
    <x v="1"/>
    <x v="0"/>
    <s v="West-David"/>
    <n v="351.41"/>
    <n v="21238.100000000002"/>
    <n v="10893.710000000001"/>
  </r>
  <r>
    <n v="1002"/>
    <x v="6"/>
    <x v="0"/>
    <x v="0"/>
    <n v="1942.75"/>
    <n v="21"/>
    <x v="1"/>
    <n v="914.22"/>
    <n v="971.57"/>
    <s v="Returning"/>
    <n v="0.14000000000000001"/>
    <x v="0"/>
    <x v="0"/>
    <s v="North-Bob"/>
    <n v="57.350000000000023"/>
    <n v="20402.97"/>
    <n v="1204.3500000000004"/>
  </r>
  <r>
    <n v="1053"/>
    <x v="145"/>
    <x v="4"/>
    <x v="2"/>
    <n v="3382.49"/>
    <n v="47"/>
    <x v="3"/>
    <n v="3551.76"/>
    <n v="3696.1000000000004"/>
    <s v="Returning"/>
    <n v="0.15"/>
    <x v="1"/>
    <x v="1"/>
    <s v="South-Alice"/>
    <n v="144.34000000000015"/>
    <n v="173716.7"/>
    <n v="6783.9800000000068"/>
  </r>
  <r>
    <n v="1044"/>
    <x v="161"/>
    <x v="2"/>
    <x v="1"/>
    <n v="8564.7999999999993"/>
    <n v="34"/>
    <x v="1"/>
    <n v="3573.3"/>
    <n v="3740.13"/>
    <s v="Returning"/>
    <n v="0.01"/>
    <x v="2"/>
    <x v="0"/>
    <s v="West-Charlie"/>
    <n v="166.82999999999993"/>
    <n v="127164.42"/>
    <n v="5672.2199999999975"/>
  </r>
  <r>
    <n v="1090"/>
    <x v="162"/>
    <x v="1"/>
    <x v="0"/>
    <n v="2150.0500000000002"/>
    <n v="31"/>
    <x v="0"/>
    <n v="4496.8599999999997"/>
    <n v="4880.7999999999993"/>
    <s v="New"/>
    <n v="0.06"/>
    <x v="0"/>
    <x v="1"/>
    <s v="North-David"/>
    <n v="383.9399999999996"/>
    <n v="151304.79999999999"/>
    <n v="11902.139999999989"/>
  </r>
  <r>
    <n v="1032"/>
    <x v="163"/>
    <x v="0"/>
    <x v="3"/>
    <n v="804.47"/>
    <n v="25"/>
    <x v="3"/>
    <n v="2934.3"/>
    <n v="3337.4"/>
    <s v="Returning"/>
    <n v="0.25"/>
    <x v="2"/>
    <x v="1"/>
    <s v="East-Bob"/>
    <n v="403.09999999999991"/>
    <n v="83435"/>
    <n v="10077.499999999998"/>
  </r>
  <r>
    <n v="1070"/>
    <x v="58"/>
    <x v="3"/>
    <x v="2"/>
    <n v="783.18"/>
    <n v="12"/>
    <x v="0"/>
    <n v="664.33"/>
    <n v="863.03"/>
    <s v="Returning"/>
    <n v="0.25"/>
    <x v="1"/>
    <x v="1"/>
    <s v="South-Eve"/>
    <n v="198.69999999999993"/>
    <n v="10356.36"/>
    <n v="2384.3999999999992"/>
  </r>
  <r>
    <n v="1032"/>
    <x v="78"/>
    <x v="4"/>
    <x v="1"/>
    <n v="9413.77"/>
    <n v="1"/>
    <x v="1"/>
    <n v="651"/>
    <n v="865.76"/>
    <s v="Returning"/>
    <n v="0.09"/>
    <x v="1"/>
    <x v="1"/>
    <s v="West-Alice"/>
    <n v="214.76"/>
    <n v="865.76"/>
    <n v="214.76"/>
  </r>
  <r>
    <n v="1068"/>
    <x v="164"/>
    <x v="0"/>
    <x v="0"/>
    <n v="5118.51"/>
    <n v="22"/>
    <x v="2"/>
    <n v="3619.61"/>
    <n v="3651.42"/>
    <s v="Returning"/>
    <n v="0.26"/>
    <x v="1"/>
    <x v="0"/>
    <s v="North-Bob"/>
    <n v="31.809999999999945"/>
    <n v="80331.240000000005"/>
    <n v="699.8199999999988"/>
  </r>
  <r>
    <n v="1055"/>
    <x v="165"/>
    <x v="3"/>
    <x v="0"/>
    <n v="4153.18"/>
    <n v="40"/>
    <x v="0"/>
    <n v="959.73"/>
    <n v="1111.4100000000001"/>
    <s v="New"/>
    <n v="0.23"/>
    <x v="1"/>
    <x v="0"/>
    <s v="North-Eve"/>
    <n v="151.68000000000006"/>
    <n v="44456.4"/>
    <n v="6067.2000000000025"/>
  </r>
  <r>
    <n v="1075"/>
    <x v="117"/>
    <x v="0"/>
    <x v="3"/>
    <n v="8127.7"/>
    <n v="37"/>
    <x v="1"/>
    <n v="1675.51"/>
    <n v="1906.6399999999999"/>
    <s v="New"/>
    <n v="0.13"/>
    <x v="1"/>
    <x v="0"/>
    <s v="East-Bob"/>
    <n v="231.12999999999988"/>
    <n v="70545.679999999993"/>
    <n v="8551.8099999999959"/>
  </r>
  <r>
    <n v="1056"/>
    <x v="28"/>
    <x v="1"/>
    <x v="1"/>
    <n v="8374.68"/>
    <n v="47"/>
    <x v="0"/>
    <n v="2461.6999999999998"/>
    <n v="2529.02"/>
    <s v="Returning"/>
    <n v="0.22"/>
    <x v="0"/>
    <x v="1"/>
    <s v="West-David"/>
    <n v="67.320000000000164"/>
    <n v="118863.94"/>
    <n v="3164.0400000000077"/>
  </r>
  <r>
    <n v="1017"/>
    <x v="166"/>
    <x v="1"/>
    <x v="3"/>
    <n v="3388.69"/>
    <n v="1"/>
    <x v="1"/>
    <n v="172.59"/>
    <n v="404.69"/>
    <s v="Returning"/>
    <n v="0.28999999999999998"/>
    <x v="1"/>
    <x v="0"/>
    <s v="East-David"/>
    <n v="232.1"/>
    <n v="404.69"/>
    <n v="232.1"/>
  </r>
  <r>
    <n v="1038"/>
    <x v="163"/>
    <x v="1"/>
    <x v="3"/>
    <n v="6966.82"/>
    <n v="1"/>
    <x v="1"/>
    <n v="1281.6500000000001"/>
    <n v="1709.71"/>
    <s v="Returning"/>
    <n v="0.14000000000000001"/>
    <x v="2"/>
    <x v="0"/>
    <s v="East-David"/>
    <n v="428.05999999999995"/>
    <n v="1709.71"/>
    <n v="428.05999999999995"/>
  </r>
  <r>
    <n v="1024"/>
    <x v="167"/>
    <x v="4"/>
    <x v="1"/>
    <n v="7734.12"/>
    <n v="42"/>
    <x v="1"/>
    <n v="2069.0500000000002"/>
    <n v="2363.9"/>
    <s v="Returning"/>
    <n v="7.0000000000000007E-2"/>
    <x v="0"/>
    <x v="0"/>
    <s v="West-Alice"/>
    <n v="294.84999999999991"/>
    <n v="99283.8"/>
    <n v="12383.699999999997"/>
  </r>
  <r>
    <n v="1069"/>
    <x v="168"/>
    <x v="1"/>
    <x v="1"/>
    <n v="6581.04"/>
    <n v="42"/>
    <x v="2"/>
    <n v="1434.2"/>
    <n v="1482.88"/>
    <s v="New"/>
    <n v="0.28000000000000003"/>
    <x v="2"/>
    <x v="1"/>
    <s v="West-David"/>
    <n v="48.680000000000064"/>
    <n v="62280.960000000006"/>
    <n v="2044.5600000000027"/>
  </r>
  <r>
    <n v="1098"/>
    <x v="96"/>
    <x v="3"/>
    <x v="1"/>
    <n v="1600.79"/>
    <n v="21"/>
    <x v="0"/>
    <n v="725.03"/>
    <n v="828.94999999999993"/>
    <s v="New"/>
    <n v="0.18"/>
    <x v="1"/>
    <x v="0"/>
    <s v="West-Eve"/>
    <n v="103.91999999999996"/>
    <n v="17407.949999999997"/>
    <n v="2182.3199999999993"/>
  </r>
  <r>
    <n v="1070"/>
    <x v="113"/>
    <x v="0"/>
    <x v="2"/>
    <n v="8771.24"/>
    <n v="15"/>
    <x v="3"/>
    <n v="3653.66"/>
    <n v="3896.19"/>
    <s v="New"/>
    <n v="0.03"/>
    <x v="2"/>
    <x v="1"/>
    <s v="South-Bob"/>
    <n v="242.5300000000002"/>
    <n v="58442.85"/>
    <n v="3637.950000000003"/>
  </r>
  <r>
    <n v="1086"/>
    <x v="169"/>
    <x v="2"/>
    <x v="1"/>
    <n v="5437.04"/>
    <n v="17"/>
    <x v="3"/>
    <n v="4075.08"/>
    <n v="4262.21"/>
    <s v="New"/>
    <n v="0.17"/>
    <x v="0"/>
    <x v="0"/>
    <s v="West-Charlie"/>
    <n v="187.13000000000011"/>
    <n v="72457.570000000007"/>
    <n v="3181.2100000000019"/>
  </r>
  <r>
    <n v="1011"/>
    <x v="170"/>
    <x v="3"/>
    <x v="0"/>
    <n v="2896.48"/>
    <n v="22"/>
    <x v="3"/>
    <n v="1324.52"/>
    <n v="1510.3"/>
    <s v="Returning"/>
    <n v="0.15"/>
    <x v="0"/>
    <x v="1"/>
    <s v="North-Eve"/>
    <n v="185.77999999999997"/>
    <n v="33226.6"/>
    <n v="4087.1599999999994"/>
  </r>
  <r>
    <n v="1016"/>
    <x v="59"/>
    <x v="3"/>
    <x v="3"/>
    <n v="4309.76"/>
    <n v="38"/>
    <x v="3"/>
    <n v="3883.38"/>
    <n v="4152.72"/>
    <s v="Returning"/>
    <n v="0.26"/>
    <x v="0"/>
    <x v="0"/>
    <s v="East-Eve"/>
    <n v="269.34000000000015"/>
    <n v="157803.36000000002"/>
    <n v="10234.920000000006"/>
  </r>
  <r>
    <n v="1097"/>
    <x v="37"/>
    <x v="1"/>
    <x v="2"/>
    <n v="471.95"/>
    <n v="35"/>
    <x v="1"/>
    <n v="1958.49"/>
    <n v="2254.84"/>
    <s v="New"/>
    <n v="0.16"/>
    <x v="2"/>
    <x v="0"/>
    <s v="South-David"/>
    <n v="296.35000000000014"/>
    <n v="78919.400000000009"/>
    <n v="10372.250000000005"/>
  </r>
  <r>
    <n v="1073"/>
    <x v="129"/>
    <x v="4"/>
    <x v="1"/>
    <n v="1365.88"/>
    <n v="45"/>
    <x v="0"/>
    <n v="2558.09"/>
    <n v="2958.55"/>
    <s v="New"/>
    <n v="0.08"/>
    <x v="0"/>
    <x v="0"/>
    <s v="West-Alice"/>
    <n v="400.46000000000004"/>
    <n v="133134.75"/>
    <n v="18020.7"/>
  </r>
  <r>
    <n v="1059"/>
    <x v="150"/>
    <x v="0"/>
    <x v="2"/>
    <n v="7678.91"/>
    <n v="16"/>
    <x v="0"/>
    <n v="4287.21"/>
    <n v="4464.28"/>
    <s v="Returning"/>
    <n v="0.2"/>
    <x v="2"/>
    <x v="1"/>
    <s v="South-Bob"/>
    <n v="177.06999999999971"/>
    <n v="71428.479999999996"/>
    <n v="2833.1199999999953"/>
  </r>
  <r>
    <n v="1070"/>
    <x v="171"/>
    <x v="4"/>
    <x v="1"/>
    <n v="100.12"/>
    <n v="8"/>
    <x v="2"/>
    <n v="3762.27"/>
    <n v="4166.95"/>
    <s v="Returning"/>
    <n v="0.16"/>
    <x v="1"/>
    <x v="0"/>
    <s v="West-Alice"/>
    <n v="404.67999999999984"/>
    <n v="33335.599999999999"/>
    <n v="3237.4399999999987"/>
  </r>
  <r>
    <n v="1080"/>
    <x v="172"/>
    <x v="0"/>
    <x v="2"/>
    <n v="4224"/>
    <n v="47"/>
    <x v="0"/>
    <n v="4035.33"/>
    <n v="4211.25"/>
    <s v="Returning"/>
    <n v="7.0000000000000007E-2"/>
    <x v="1"/>
    <x v="0"/>
    <s v="South-Bob"/>
    <n v="175.92000000000007"/>
    <n v="197928.75"/>
    <n v="8268.2400000000034"/>
  </r>
  <r>
    <n v="1093"/>
    <x v="173"/>
    <x v="0"/>
    <x v="3"/>
    <n v="5272.85"/>
    <n v="17"/>
    <x v="0"/>
    <n v="727.38"/>
    <n v="764.54"/>
    <s v="Returning"/>
    <n v="0.17"/>
    <x v="2"/>
    <x v="1"/>
    <s v="East-Bob"/>
    <n v="37.159999999999968"/>
    <n v="12997.18"/>
    <n v="631.71999999999946"/>
  </r>
  <r>
    <n v="1003"/>
    <x v="174"/>
    <x v="4"/>
    <x v="3"/>
    <n v="640.88"/>
    <n v="17"/>
    <x v="0"/>
    <n v="395.11"/>
    <n v="676.66000000000008"/>
    <s v="Returning"/>
    <n v="0.25"/>
    <x v="0"/>
    <x v="1"/>
    <s v="East-Alice"/>
    <n v="281.55000000000007"/>
    <n v="11503.220000000001"/>
    <n v="4786.3500000000013"/>
  </r>
  <r>
    <n v="1020"/>
    <x v="175"/>
    <x v="3"/>
    <x v="0"/>
    <n v="9733.4699999999993"/>
    <n v="26"/>
    <x v="2"/>
    <n v="4472.3500000000004"/>
    <n v="4770.42"/>
    <s v="New"/>
    <n v="0.01"/>
    <x v="2"/>
    <x v="1"/>
    <s v="North-Eve"/>
    <n v="298.06999999999971"/>
    <n v="124030.92"/>
    <n v="7749.8199999999924"/>
  </r>
  <r>
    <n v="1059"/>
    <x v="109"/>
    <x v="0"/>
    <x v="0"/>
    <n v="2338.64"/>
    <n v="13"/>
    <x v="3"/>
    <n v="1969.78"/>
    <n v="2437.6999999999998"/>
    <s v="New"/>
    <n v="0.19"/>
    <x v="2"/>
    <x v="1"/>
    <s v="North-Bob"/>
    <n v="467.91999999999985"/>
    <n v="31690.1"/>
    <n v="6082.9599999999982"/>
  </r>
  <r>
    <n v="1036"/>
    <x v="162"/>
    <x v="4"/>
    <x v="1"/>
    <n v="3111.57"/>
    <n v="17"/>
    <x v="0"/>
    <n v="1475"/>
    <n v="1840.77"/>
    <s v="Returning"/>
    <n v="0.1"/>
    <x v="2"/>
    <x v="0"/>
    <s v="West-Alice"/>
    <n v="365.77"/>
    <n v="31293.09"/>
    <n v="6218.09"/>
  </r>
  <r>
    <n v="1019"/>
    <x v="26"/>
    <x v="0"/>
    <x v="3"/>
    <n v="3109.03"/>
    <n v="38"/>
    <x v="2"/>
    <n v="3637.25"/>
    <n v="4096.96"/>
    <s v="Returning"/>
    <n v="0.09"/>
    <x v="1"/>
    <x v="0"/>
    <s v="East-Bob"/>
    <n v="459.71000000000004"/>
    <n v="155684.48000000001"/>
    <n v="17468.980000000003"/>
  </r>
  <r>
    <n v="1090"/>
    <x v="170"/>
    <x v="2"/>
    <x v="2"/>
    <n v="2381.12"/>
    <n v="17"/>
    <x v="2"/>
    <n v="4190.26"/>
    <n v="4645.3500000000004"/>
    <s v="New"/>
    <n v="0.12"/>
    <x v="2"/>
    <x v="1"/>
    <s v="South-Charlie"/>
    <n v="455.09000000000015"/>
    <n v="78970.950000000012"/>
    <n v="7736.5300000000025"/>
  </r>
  <r>
    <n v="1067"/>
    <x v="8"/>
    <x v="3"/>
    <x v="2"/>
    <n v="114.59"/>
    <n v="48"/>
    <x v="1"/>
    <n v="4319.32"/>
    <n v="4625.5599999999995"/>
    <s v="Returning"/>
    <n v="0.1"/>
    <x v="1"/>
    <x v="0"/>
    <s v="South-Eve"/>
    <n v="306.23999999999978"/>
    <n v="222026.87999999998"/>
    <n v="14699.51999999999"/>
  </r>
  <r>
    <n v="1019"/>
    <x v="18"/>
    <x v="1"/>
    <x v="2"/>
    <n v="7320.51"/>
    <n v="14"/>
    <x v="2"/>
    <n v="1614.19"/>
    <n v="1882.79"/>
    <s v="New"/>
    <n v="0.25"/>
    <x v="2"/>
    <x v="1"/>
    <s v="South-David"/>
    <n v="268.59999999999991"/>
    <n v="26359.059999999998"/>
    <n v="3760.3999999999987"/>
  </r>
  <r>
    <n v="1020"/>
    <x v="176"/>
    <x v="0"/>
    <x v="0"/>
    <n v="9671.77"/>
    <n v="45"/>
    <x v="3"/>
    <n v="4268.45"/>
    <n v="4551.5999999999995"/>
    <s v="New"/>
    <n v="0.08"/>
    <x v="1"/>
    <x v="0"/>
    <s v="North-Bob"/>
    <n v="283.14999999999964"/>
    <n v="204821.99999999997"/>
    <n v="12741.749999999984"/>
  </r>
  <r>
    <n v="1096"/>
    <x v="67"/>
    <x v="2"/>
    <x v="2"/>
    <n v="2320.5100000000002"/>
    <n v="6"/>
    <x v="0"/>
    <n v="252.62"/>
    <n v="742"/>
    <s v="New"/>
    <n v="0.22"/>
    <x v="2"/>
    <x v="1"/>
    <s v="South-Charlie"/>
    <n v="489.38"/>
    <n v="4452"/>
    <n v="2936.2799999999997"/>
  </r>
  <r>
    <n v="1071"/>
    <x v="177"/>
    <x v="1"/>
    <x v="0"/>
    <n v="6664.17"/>
    <n v="35"/>
    <x v="2"/>
    <n v="295.82"/>
    <n v="684.67000000000007"/>
    <s v="New"/>
    <n v="0.03"/>
    <x v="2"/>
    <x v="0"/>
    <s v="North-David"/>
    <n v="388.85000000000008"/>
    <n v="23963.450000000004"/>
    <n v="13609.750000000004"/>
  </r>
  <r>
    <n v="1052"/>
    <x v="178"/>
    <x v="1"/>
    <x v="0"/>
    <n v="7444.77"/>
    <n v="46"/>
    <x v="3"/>
    <n v="3136.42"/>
    <n v="3198.4900000000002"/>
    <s v="Returning"/>
    <n v="0.28999999999999998"/>
    <x v="0"/>
    <x v="1"/>
    <s v="North-David"/>
    <n v="62.070000000000164"/>
    <n v="147130.54"/>
    <n v="2855.2200000000075"/>
  </r>
  <r>
    <n v="1033"/>
    <x v="113"/>
    <x v="0"/>
    <x v="1"/>
    <n v="8499.41"/>
    <n v="14"/>
    <x v="2"/>
    <n v="362.38"/>
    <n v="753.81"/>
    <s v="Returning"/>
    <n v="0.19"/>
    <x v="0"/>
    <x v="1"/>
    <s v="West-Bob"/>
    <n v="391.42999999999995"/>
    <n v="10553.34"/>
    <n v="5480.0199999999995"/>
  </r>
  <r>
    <n v="1040"/>
    <x v="16"/>
    <x v="4"/>
    <x v="2"/>
    <n v="4284.03"/>
    <n v="47"/>
    <x v="2"/>
    <n v="1656.82"/>
    <n v="1750.3799999999999"/>
    <s v="New"/>
    <n v="0.21"/>
    <x v="2"/>
    <x v="0"/>
    <s v="South-Alice"/>
    <n v="93.559999999999945"/>
    <n v="82267.86"/>
    <n v="4397.3199999999979"/>
  </r>
  <r>
    <n v="1039"/>
    <x v="168"/>
    <x v="0"/>
    <x v="2"/>
    <n v="3099.02"/>
    <n v="8"/>
    <x v="2"/>
    <n v="3380.14"/>
    <n v="3609.3399999999997"/>
    <s v="Returning"/>
    <n v="0.09"/>
    <x v="2"/>
    <x v="0"/>
    <s v="South-Bob"/>
    <n v="229.19999999999982"/>
    <n v="28874.719999999998"/>
    <n v="1833.5999999999985"/>
  </r>
  <r>
    <n v="1082"/>
    <x v="179"/>
    <x v="2"/>
    <x v="3"/>
    <n v="3320.42"/>
    <n v="15"/>
    <x v="2"/>
    <n v="1719.47"/>
    <n v="1832.6"/>
    <s v="Returning"/>
    <n v="0.12"/>
    <x v="2"/>
    <x v="0"/>
    <s v="East-Charlie"/>
    <n v="113.12999999999988"/>
    <n v="27489"/>
    <n v="1696.9499999999982"/>
  </r>
  <r>
    <n v="1001"/>
    <x v="180"/>
    <x v="1"/>
    <x v="1"/>
    <n v="7154.95"/>
    <n v="27"/>
    <x v="2"/>
    <n v="939.02"/>
    <n v="1286.92"/>
    <s v="Returning"/>
    <n v="7.0000000000000007E-2"/>
    <x v="2"/>
    <x v="1"/>
    <s v="West-David"/>
    <n v="347.90000000000009"/>
    <n v="34746.840000000004"/>
    <n v="9393.3000000000029"/>
  </r>
  <r>
    <n v="1011"/>
    <x v="181"/>
    <x v="0"/>
    <x v="3"/>
    <n v="8186.12"/>
    <n v="13"/>
    <x v="3"/>
    <n v="1442.69"/>
    <n v="1882.5700000000002"/>
    <s v="Returning"/>
    <n v="0.28000000000000003"/>
    <x v="0"/>
    <x v="0"/>
    <s v="East-Bob"/>
    <n v="439.88000000000011"/>
    <n v="24473.410000000003"/>
    <n v="5718.4400000000014"/>
  </r>
  <r>
    <n v="1092"/>
    <x v="76"/>
    <x v="4"/>
    <x v="1"/>
    <n v="1897.98"/>
    <n v="49"/>
    <x v="0"/>
    <n v="2315"/>
    <n v="2467.2800000000002"/>
    <s v="New"/>
    <n v="0.15"/>
    <x v="1"/>
    <x v="1"/>
    <s v="West-Alice"/>
    <n v="152.2800000000002"/>
    <n v="120896.72000000002"/>
    <n v="7461.7200000000103"/>
  </r>
  <r>
    <n v="1057"/>
    <x v="92"/>
    <x v="0"/>
    <x v="2"/>
    <n v="3772.32"/>
    <n v="31"/>
    <x v="0"/>
    <n v="2403.16"/>
    <n v="2453.35"/>
    <s v="Returning"/>
    <n v="0.19"/>
    <x v="2"/>
    <x v="0"/>
    <s v="South-Bob"/>
    <n v="50.190000000000055"/>
    <n v="76053.849999999991"/>
    <n v="1555.8900000000017"/>
  </r>
  <r>
    <n v="1089"/>
    <x v="177"/>
    <x v="3"/>
    <x v="0"/>
    <n v="9029.2099999999991"/>
    <n v="35"/>
    <x v="0"/>
    <n v="3925.85"/>
    <n v="4082.1099999999997"/>
    <s v="New"/>
    <n v="0.22"/>
    <x v="0"/>
    <x v="0"/>
    <s v="North-Eve"/>
    <n v="156.25999999999976"/>
    <n v="142873.84999999998"/>
    <n v="5469.0999999999913"/>
  </r>
  <r>
    <n v="1050"/>
    <x v="141"/>
    <x v="4"/>
    <x v="0"/>
    <n v="8086.27"/>
    <n v="6"/>
    <x v="0"/>
    <n v="3763.26"/>
    <n v="4102.72"/>
    <s v="New"/>
    <n v="0.11"/>
    <x v="2"/>
    <x v="1"/>
    <s v="North-Alice"/>
    <n v="339.46000000000004"/>
    <n v="24616.32"/>
    <n v="2036.7600000000002"/>
  </r>
  <r>
    <n v="1023"/>
    <x v="40"/>
    <x v="2"/>
    <x v="0"/>
    <n v="9850.1"/>
    <n v="5"/>
    <x v="3"/>
    <n v="2311.25"/>
    <n v="2482.34"/>
    <s v="Returning"/>
    <n v="0.22"/>
    <x v="2"/>
    <x v="1"/>
    <s v="North-Charlie"/>
    <n v="171.09000000000015"/>
    <n v="12411.7"/>
    <n v="855.45000000000073"/>
  </r>
  <r>
    <n v="1031"/>
    <x v="182"/>
    <x v="1"/>
    <x v="0"/>
    <n v="7567.06"/>
    <n v="22"/>
    <x v="1"/>
    <n v="4236.05"/>
    <n v="4382.3200000000006"/>
    <s v="New"/>
    <n v="0.2"/>
    <x v="1"/>
    <x v="0"/>
    <s v="North-David"/>
    <n v="146.27000000000044"/>
    <n v="96411.040000000008"/>
    <n v="3217.9400000000096"/>
  </r>
  <r>
    <n v="1094"/>
    <x v="113"/>
    <x v="0"/>
    <x v="0"/>
    <n v="3992.63"/>
    <n v="49"/>
    <x v="1"/>
    <n v="615.47"/>
    <n v="715.84"/>
    <s v="Returning"/>
    <n v="0.21"/>
    <x v="2"/>
    <x v="1"/>
    <s v="North-Bob"/>
    <n v="100.37"/>
    <n v="35076.160000000003"/>
    <n v="4918.13"/>
  </r>
  <r>
    <n v="1042"/>
    <x v="183"/>
    <x v="4"/>
    <x v="3"/>
    <n v="5947.31"/>
    <n v="23"/>
    <x v="3"/>
    <n v="1314"/>
    <n v="1567.78"/>
    <s v="Returning"/>
    <n v="0.15"/>
    <x v="2"/>
    <x v="1"/>
    <s v="East-Alice"/>
    <n v="253.77999999999997"/>
    <n v="36058.94"/>
    <n v="5836.94"/>
  </r>
  <r>
    <n v="1099"/>
    <x v="143"/>
    <x v="3"/>
    <x v="1"/>
    <n v="6644.04"/>
    <n v="25"/>
    <x v="3"/>
    <n v="4148.4799999999996"/>
    <n v="4293.6899999999996"/>
    <s v="New"/>
    <n v="0.11"/>
    <x v="1"/>
    <x v="0"/>
    <s v="West-Eve"/>
    <n v="145.21000000000004"/>
    <n v="107342.24999999999"/>
    <n v="3630.2500000000009"/>
  </r>
  <r>
    <n v="1007"/>
    <x v="180"/>
    <x v="4"/>
    <x v="2"/>
    <n v="876.71"/>
    <n v="34"/>
    <x v="2"/>
    <n v="1921.07"/>
    <n v="2289.27"/>
    <s v="Returning"/>
    <n v="7.0000000000000007E-2"/>
    <x v="1"/>
    <x v="1"/>
    <s v="South-Alice"/>
    <n v="368.20000000000005"/>
    <n v="77835.179999999993"/>
    <n v="12518.800000000001"/>
  </r>
  <r>
    <n v="1016"/>
    <x v="184"/>
    <x v="3"/>
    <x v="3"/>
    <n v="5490.52"/>
    <n v="26"/>
    <x v="2"/>
    <n v="4906.8500000000004"/>
    <n v="4954.3900000000003"/>
    <s v="New"/>
    <n v="0.25"/>
    <x v="1"/>
    <x v="0"/>
    <s v="East-Eve"/>
    <n v="47.539999999999964"/>
    <n v="128814.14000000001"/>
    <n v="1236.0399999999991"/>
  </r>
  <r>
    <n v="1090"/>
    <x v="160"/>
    <x v="2"/>
    <x v="1"/>
    <n v="7122.28"/>
    <n v="47"/>
    <x v="2"/>
    <n v="2357.9499999999998"/>
    <n v="2693.33"/>
    <s v="New"/>
    <n v="0.18"/>
    <x v="1"/>
    <x v="0"/>
    <s v="West-Charlie"/>
    <n v="335.38000000000011"/>
    <n v="126586.51"/>
    <n v="15762.860000000004"/>
  </r>
  <r>
    <n v="1060"/>
    <x v="185"/>
    <x v="1"/>
    <x v="0"/>
    <n v="1756.48"/>
    <n v="5"/>
    <x v="0"/>
    <n v="3970.08"/>
    <n v="4096.4799999999996"/>
    <s v="Returning"/>
    <n v="0.13"/>
    <x v="0"/>
    <x v="1"/>
    <s v="North-David"/>
    <n v="126.39999999999964"/>
    <n v="20482.399999999998"/>
    <n v="631.99999999999818"/>
  </r>
  <r>
    <n v="1002"/>
    <x v="149"/>
    <x v="2"/>
    <x v="1"/>
    <n v="7828.25"/>
    <n v="26"/>
    <x v="2"/>
    <n v="2041.42"/>
    <n v="2291.17"/>
    <s v="Returning"/>
    <n v="0.28000000000000003"/>
    <x v="0"/>
    <x v="0"/>
    <s v="West-Charlie"/>
    <n v="249.75"/>
    <n v="59570.42"/>
    <n v="6493.5"/>
  </r>
  <r>
    <n v="1001"/>
    <x v="186"/>
    <x v="0"/>
    <x v="1"/>
    <n v="5879.35"/>
    <n v="20"/>
    <x v="1"/>
    <n v="2153.52"/>
    <n v="2303.6999999999998"/>
    <s v="Returning"/>
    <n v="0.01"/>
    <x v="0"/>
    <x v="1"/>
    <s v="West-Bob"/>
    <n v="150.17999999999984"/>
    <n v="46074"/>
    <n v="3003.5999999999967"/>
  </r>
  <r>
    <n v="1048"/>
    <x v="187"/>
    <x v="4"/>
    <x v="0"/>
    <n v="9527"/>
    <n v="6"/>
    <x v="0"/>
    <n v="1945.27"/>
    <n v="2309.4299999999998"/>
    <s v="New"/>
    <n v="0.26"/>
    <x v="2"/>
    <x v="0"/>
    <s v="North-Alice"/>
    <n v="364.15999999999985"/>
    <n v="13856.579999999998"/>
    <n v="2184.9599999999991"/>
  </r>
  <r>
    <n v="1012"/>
    <x v="24"/>
    <x v="3"/>
    <x v="0"/>
    <n v="519.98"/>
    <n v="6"/>
    <x v="2"/>
    <n v="3609.42"/>
    <n v="4082.62"/>
    <s v="Returning"/>
    <n v="0.3"/>
    <x v="1"/>
    <x v="1"/>
    <s v="North-Eve"/>
    <n v="473.19999999999982"/>
    <n v="24495.72"/>
    <n v="2839.1999999999989"/>
  </r>
  <r>
    <n v="1069"/>
    <x v="188"/>
    <x v="3"/>
    <x v="0"/>
    <n v="2726.73"/>
    <n v="18"/>
    <x v="0"/>
    <n v="2760.21"/>
    <n v="3219.58"/>
    <s v="New"/>
    <n v="0.27"/>
    <x v="1"/>
    <x v="1"/>
    <s v="North-Eve"/>
    <n v="459.36999999999989"/>
    <n v="57952.44"/>
    <n v="8268.659999999998"/>
  </r>
  <r>
    <n v="1037"/>
    <x v="189"/>
    <x v="4"/>
    <x v="2"/>
    <n v="6055.38"/>
    <n v="4"/>
    <x v="1"/>
    <n v="4721.7"/>
    <n v="5017.58"/>
    <s v="New"/>
    <n v="0.24"/>
    <x v="0"/>
    <x v="1"/>
    <s v="South-Alice"/>
    <n v="295.88000000000011"/>
    <n v="20070.32"/>
    <n v="1183.5200000000004"/>
  </r>
  <r>
    <n v="1032"/>
    <x v="178"/>
    <x v="4"/>
    <x v="0"/>
    <n v="3035.94"/>
    <n v="17"/>
    <x v="2"/>
    <n v="1291.9100000000001"/>
    <n v="1528.5900000000001"/>
    <s v="Returning"/>
    <n v="0.11"/>
    <x v="2"/>
    <x v="1"/>
    <s v="North-Alice"/>
    <n v="236.68000000000006"/>
    <n v="25986.030000000002"/>
    <n v="4023.5600000000013"/>
  </r>
  <r>
    <n v="1009"/>
    <x v="82"/>
    <x v="0"/>
    <x v="2"/>
    <n v="7172.8"/>
    <n v="14"/>
    <x v="1"/>
    <n v="547.79"/>
    <n v="958.76"/>
    <s v="Returning"/>
    <n v="7.0000000000000007E-2"/>
    <x v="2"/>
    <x v="1"/>
    <s v="South-Bob"/>
    <n v="410.97"/>
    <n v="13422.64"/>
    <n v="5753.58"/>
  </r>
  <r>
    <n v="1099"/>
    <x v="95"/>
    <x v="2"/>
    <x v="0"/>
    <n v="7614.15"/>
    <n v="14"/>
    <x v="1"/>
    <n v="1996.64"/>
    <n v="2341.4700000000003"/>
    <s v="Returning"/>
    <n v="0.22"/>
    <x v="2"/>
    <x v="0"/>
    <s v="North-Charlie"/>
    <n v="344.83000000000015"/>
    <n v="32780.58"/>
    <n v="4827.6200000000026"/>
  </r>
  <r>
    <n v="1019"/>
    <x v="190"/>
    <x v="3"/>
    <x v="2"/>
    <n v="1114.9100000000001"/>
    <n v="13"/>
    <x v="1"/>
    <n v="3102.73"/>
    <n v="3202.68"/>
    <s v="New"/>
    <n v="0.09"/>
    <x v="0"/>
    <x v="0"/>
    <s v="South-Eve"/>
    <n v="99.949999999999818"/>
    <n v="41634.839999999997"/>
    <n v="1299.3499999999976"/>
  </r>
  <r>
    <n v="1048"/>
    <x v="191"/>
    <x v="0"/>
    <x v="1"/>
    <n v="5187.16"/>
    <n v="7"/>
    <x v="2"/>
    <n v="4310.95"/>
    <n v="4723.2"/>
    <s v="Returning"/>
    <n v="0.05"/>
    <x v="2"/>
    <x v="1"/>
    <s v="West-Bob"/>
    <n v="412.25"/>
    <n v="33062.400000000001"/>
    <n v="2885.75"/>
  </r>
  <r>
    <n v="1080"/>
    <x v="192"/>
    <x v="2"/>
    <x v="3"/>
    <n v="5138.0200000000004"/>
    <n v="44"/>
    <x v="3"/>
    <n v="1763.67"/>
    <n v="1983.8200000000002"/>
    <s v="New"/>
    <n v="0.24"/>
    <x v="2"/>
    <x v="0"/>
    <s v="East-Charlie"/>
    <n v="220.15000000000009"/>
    <n v="87288.08"/>
    <n v="9686.600000000004"/>
  </r>
  <r>
    <n v="1003"/>
    <x v="160"/>
    <x v="0"/>
    <x v="1"/>
    <n v="3755.88"/>
    <n v="15"/>
    <x v="2"/>
    <n v="3286.24"/>
    <n v="3388.8399999999997"/>
    <s v="Returning"/>
    <n v="0.09"/>
    <x v="2"/>
    <x v="1"/>
    <s v="West-Bob"/>
    <n v="102.59999999999991"/>
    <n v="50832.6"/>
    <n v="1538.9999999999986"/>
  </r>
  <r>
    <n v="1020"/>
    <x v="101"/>
    <x v="3"/>
    <x v="1"/>
    <n v="9335.9599999999991"/>
    <n v="19"/>
    <x v="1"/>
    <n v="1783.48"/>
    <n v="1931.56"/>
    <s v="Returning"/>
    <n v="0.27"/>
    <x v="1"/>
    <x v="1"/>
    <s v="West-Eve"/>
    <n v="148.07999999999993"/>
    <n v="36699.64"/>
    <n v="2813.5199999999986"/>
  </r>
  <r>
    <n v="1024"/>
    <x v="193"/>
    <x v="4"/>
    <x v="0"/>
    <n v="8292.31"/>
    <n v="43"/>
    <x v="2"/>
    <n v="3105.24"/>
    <n v="3246.33"/>
    <s v="New"/>
    <n v="0.25"/>
    <x v="0"/>
    <x v="0"/>
    <s v="North-Alice"/>
    <n v="141.09000000000015"/>
    <n v="139592.19"/>
    <n v="6066.8700000000063"/>
  </r>
  <r>
    <n v="1054"/>
    <x v="43"/>
    <x v="4"/>
    <x v="2"/>
    <n v="7002.37"/>
    <n v="47"/>
    <x v="1"/>
    <n v="4429.8"/>
    <n v="4694.21"/>
    <s v="New"/>
    <n v="0.25"/>
    <x v="1"/>
    <x v="0"/>
    <s v="South-Alice"/>
    <n v="264.40999999999985"/>
    <n v="220627.87"/>
    <n v="12427.269999999993"/>
  </r>
  <r>
    <n v="1033"/>
    <x v="55"/>
    <x v="2"/>
    <x v="3"/>
    <n v="7171.83"/>
    <n v="44"/>
    <x v="3"/>
    <n v="1195.22"/>
    <n v="1320.06"/>
    <s v="Returning"/>
    <n v="0.23"/>
    <x v="1"/>
    <x v="1"/>
    <s v="East-Charlie"/>
    <n v="124.83999999999992"/>
    <n v="58082.64"/>
    <n v="5492.9599999999964"/>
  </r>
  <r>
    <n v="1024"/>
    <x v="194"/>
    <x v="1"/>
    <x v="0"/>
    <n v="4670.99"/>
    <n v="35"/>
    <x v="0"/>
    <n v="2051"/>
    <n v="2121.5500000000002"/>
    <s v="Returning"/>
    <n v="0.26"/>
    <x v="0"/>
    <x v="1"/>
    <s v="North-David"/>
    <n v="70.550000000000182"/>
    <n v="74254.25"/>
    <n v="2469.2500000000064"/>
  </r>
  <r>
    <n v="1075"/>
    <x v="195"/>
    <x v="2"/>
    <x v="0"/>
    <n v="9217.85"/>
    <n v="17"/>
    <x v="3"/>
    <n v="4966.66"/>
    <n v="5037.2699999999995"/>
    <s v="Returning"/>
    <n v="0.24"/>
    <x v="1"/>
    <x v="1"/>
    <s v="North-Charlie"/>
    <n v="70.609999999999673"/>
    <n v="85633.59"/>
    <n v="1200.3699999999944"/>
  </r>
  <r>
    <n v="1072"/>
    <x v="196"/>
    <x v="1"/>
    <x v="0"/>
    <n v="6976.49"/>
    <n v="35"/>
    <x v="3"/>
    <n v="4349.3599999999997"/>
    <n v="4645.17"/>
    <s v="Returning"/>
    <n v="0.18"/>
    <x v="2"/>
    <x v="1"/>
    <s v="North-David"/>
    <n v="295.8100000000004"/>
    <n v="162580.95000000001"/>
    <n v="10353.350000000013"/>
  </r>
  <r>
    <n v="1036"/>
    <x v="78"/>
    <x v="0"/>
    <x v="1"/>
    <n v="7316.91"/>
    <n v="19"/>
    <x v="0"/>
    <n v="2844.97"/>
    <n v="3215"/>
    <s v="Returning"/>
    <n v="0.09"/>
    <x v="2"/>
    <x v="1"/>
    <s v="West-Bob"/>
    <n v="370.0300000000002"/>
    <n v="61085"/>
    <n v="7030.5700000000033"/>
  </r>
  <r>
    <n v="1038"/>
    <x v="102"/>
    <x v="0"/>
    <x v="2"/>
    <n v="8630.74"/>
    <n v="20"/>
    <x v="2"/>
    <n v="2607.31"/>
    <n v="2774.86"/>
    <s v="New"/>
    <n v="0.27"/>
    <x v="2"/>
    <x v="1"/>
    <s v="South-Bob"/>
    <n v="167.55000000000018"/>
    <n v="55497.200000000004"/>
    <n v="3351.0000000000036"/>
  </r>
  <r>
    <n v="1084"/>
    <x v="2"/>
    <x v="3"/>
    <x v="2"/>
    <n v="2813.31"/>
    <n v="36"/>
    <x v="0"/>
    <n v="1458.77"/>
    <n v="1485.75"/>
    <s v="New"/>
    <n v="0.25"/>
    <x v="2"/>
    <x v="0"/>
    <s v="South-Eve"/>
    <n v="26.980000000000018"/>
    <n v="53487"/>
    <n v="971.28000000000065"/>
  </r>
  <r>
    <n v="1099"/>
    <x v="164"/>
    <x v="1"/>
    <x v="3"/>
    <n v="8090"/>
    <n v="35"/>
    <x v="2"/>
    <n v="2610.19"/>
    <n v="2682.53"/>
    <s v="New"/>
    <n v="0.14000000000000001"/>
    <x v="0"/>
    <x v="1"/>
    <s v="East-David"/>
    <n v="72.340000000000146"/>
    <n v="93888.55"/>
    <n v="2531.9000000000051"/>
  </r>
  <r>
    <n v="1089"/>
    <x v="197"/>
    <x v="3"/>
    <x v="2"/>
    <n v="2032.88"/>
    <n v="32"/>
    <x v="2"/>
    <n v="4248.5"/>
    <n v="4706.7"/>
    <s v="New"/>
    <n v="0.01"/>
    <x v="1"/>
    <x v="1"/>
    <s v="South-Eve"/>
    <n v="458.19999999999982"/>
    <n v="150614.39999999999"/>
    <n v="14662.399999999994"/>
  </r>
  <r>
    <n v="1099"/>
    <x v="198"/>
    <x v="4"/>
    <x v="2"/>
    <n v="3518.89"/>
    <n v="48"/>
    <x v="1"/>
    <n v="3441.61"/>
    <n v="3693.4500000000003"/>
    <s v="Returning"/>
    <n v="0.19"/>
    <x v="1"/>
    <x v="0"/>
    <s v="South-Alice"/>
    <n v="251.84000000000015"/>
    <n v="177285.6"/>
    <n v="12088.320000000007"/>
  </r>
  <r>
    <n v="1025"/>
    <x v="108"/>
    <x v="1"/>
    <x v="0"/>
    <n v="3422.54"/>
    <n v="44"/>
    <x v="1"/>
    <n v="1485.72"/>
    <n v="1717.97"/>
    <s v="New"/>
    <n v="0.02"/>
    <x v="2"/>
    <x v="1"/>
    <s v="North-David"/>
    <n v="232.25"/>
    <n v="75590.680000000008"/>
    <n v="10219"/>
  </r>
  <r>
    <n v="1093"/>
    <x v="199"/>
    <x v="2"/>
    <x v="0"/>
    <n v="9787.4"/>
    <n v="40"/>
    <x v="0"/>
    <n v="1047.25"/>
    <n v="1075.8900000000001"/>
    <s v="New"/>
    <n v="0.28000000000000003"/>
    <x v="2"/>
    <x v="1"/>
    <s v="North-Charlie"/>
    <n v="28.6400000000001"/>
    <n v="43035.600000000006"/>
    <n v="1145.600000000004"/>
  </r>
  <r>
    <n v="1082"/>
    <x v="200"/>
    <x v="4"/>
    <x v="0"/>
    <n v="7041.58"/>
    <n v="17"/>
    <x v="0"/>
    <n v="890.31"/>
    <n v="1159.06"/>
    <s v="Returning"/>
    <n v="0.06"/>
    <x v="0"/>
    <x v="1"/>
    <s v="North-Alice"/>
    <n v="268.75"/>
    <n v="19704.02"/>
    <n v="4568.75"/>
  </r>
  <r>
    <n v="1066"/>
    <x v="201"/>
    <x v="2"/>
    <x v="0"/>
    <n v="7297.86"/>
    <n v="7"/>
    <x v="2"/>
    <n v="523.41999999999996"/>
    <n v="632.43999999999994"/>
    <s v="New"/>
    <n v="0.2"/>
    <x v="1"/>
    <x v="0"/>
    <s v="North-Charlie"/>
    <n v="109.01999999999998"/>
    <n v="4427.08"/>
    <n v="763.13999999999987"/>
  </r>
  <r>
    <n v="1054"/>
    <x v="164"/>
    <x v="4"/>
    <x v="0"/>
    <n v="5664.52"/>
    <n v="43"/>
    <x v="1"/>
    <n v="2124.7199999999998"/>
    <n v="2188.66"/>
    <s v="Returning"/>
    <n v="0.03"/>
    <x v="2"/>
    <x v="1"/>
    <s v="North-Alice"/>
    <n v="63.940000000000055"/>
    <n v="94112.37999999999"/>
    <n v="2749.4200000000023"/>
  </r>
  <r>
    <n v="1035"/>
    <x v="108"/>
    <x v="1"/>
    <x v="0"/>
    <n v="9476.2000000000007"/>
    <n v="1"/>
    <x v="0"/>
    <n v="610.83000000000004"/>
    <n v="808.69"/>
    <s v="New"/>
    <n v="0.22"/>
    <x v="2"/>
    <x v="0"/>
    <s v="North-David"/>
    <n v="197.86"/>
    <n v="808.69"/>
    <n v="197.86"/>
  </r>
  <r>
    <n v="1080"/>
    <x v="68"/>
    <x v="3"/>
    <x v="1"/>
    <n v="5012.96"/>
    <n v="35"/>
    <x v="0"/>
    <n v="900.97"/>
    <n v="1321.18"/>
    <s v="Returning"/>
    <n v="0.1"/>
    <x v="0"/>
    <x v="0"/>
    <s v="West-Eve"/>
    <n v="420.21000000000004"/>
    <n v="46241.3"/>
    <n v="14707.350000000002"/>
  </r>
  <r>
    <n v="1061"/>
    <x v="89"/>
    <x v="4"/>
    <x v="0"/>
    <n v="3867.13"/>
    <n v="32"/>
    <x v="1"/>
    <n v="2759.26"/>
    <n v="3193.25"/>
    <s v="New"/>
    <n v="0.2"/>
    <x v="1"/>
    <x v="0"/>
    <s v="North-Alice"/>
    <n v="433.98999999999978"/>
    <n v="102184"/>
    <n v="13887.679999999993"/>
  </r>
  <r>
    <n v="1041"/>
    <x v="202"/>
    <x v="1"/>
    <x v="3"/>
    <n v="1714.05"/>
    <n v="36"/>
    <x v="1"/>
    <n v="864.77"/>
    <n v="1170.1599999999999"/>
    <s v="Returning"/>
    <n v="0.11"/>
    <x v="0"/>
    <x v="1"/>
    <s v="East-David"/>
    <n v="305.38999999999987"/>
    <n v="42125.759999999995"/>
    <n v="10994.039999999995"/>
  </r>
  <r>
    <n v="1100"/>
    <x v="77"/>
    <x v="0"/>
    <x v="3"/>
    <n v="7883.44"/>
    <n v="13"/>
    <x v="1"/>
    <n v="366.2"/>
    <n v="732.69"/>
    <s v="New"/>
    <n v="0.04"/>
    <x v="0"/>
    <x v="1"/>
    <s v="East-Bob"/>
    <n v="366.49000000000007"/>
    <n v="9524.9700000000012"/>
    <n v="4764.3700000000008"/>
  </r>
  <r>
    <n v="1033"/>
    <x v="163"/>
    <x v="1"/>
    <x v="3"/>
    <n v="7370.99"/>
    <n v="6"/>
    <x v="2"/>
    <n v="1621.07"/>
    <n v="1687.5"/>
    <s v="Returning"/>
    <n v="0.12"/>
    <x v="2"/>
    <x v="0"/>
    <s v="East-David"/>
    <n v="66.430000000000064"/>
    <n v="10125"/>
    <n v="398.58000000000038"/>
  </r>
  <r>
    <n v="1068"/>
    <x v="29"/>
    <x v="3"/>
    <x v="3"/>
    <n v="3905.11"/>
    <n v="14"/>
    <x v="1"/>
    <n v="1140.58"/>
    <n v="1438.76"/>
    <s v="Returning"/>
    <n v="0.03"/>
    <x v="1"/>
    <x v="0"/>
    <s v="East-Eve"/>
    <n v="298.18000000000006"/>
    <n v="20142.64"/>
    <n v="4174.5200000000004"/>
  </r>
  <r>
    <n v="1033"/>
    <x v="203"/>
    <x v="1"/>
    <x v="0"/>
    <n v="349.41"/>
    <n v="37"/>
    <x v="3"/>
    <n v="2600.7600000000002"/>
    <n v="2937.57"/>
    <s v="New"/>
    <n v="0.17"/>
    <x v="2"/>
    <x v="1"/>
    <s v="North-David"/>
    <n v="336.80999999999995"/>
    <n v="108690.09000000001"/>
    <n v="12461.969999999998"/>
  </r>
  <r>
    <n v="1014"/>
    <x v="204"/>
    <x v="2"/>
    <x v="3"/>
    <n v="8406.07"/>
    <n v="48"/>
    <x v="0"/>
    <n v="556.72"/>
    <n v="665.07"/>
    <s v="Returning"/>
    <n v="0.01"/>
    <x v="1"/>
    <x v="1"/>
    <s v="East-Charlie"/>
    <n v="108.35000000000002"/>
    <n v="31923.360000000001"/>
    <n v="5200.8000000000011"/>
  </r>
  <r>
    <n v="1021"/>
    <x v="90"/>
    <x v="3"/>
    <x v="0"/>
    <n v="213.04"/>
    <n v="15"/>
    <x v="1"/>
    <n v="3771.27"/>
    <n v="4212.55"/>
    <s v="Returning"/>
    <n v="0.16"/>
    <x v="2"/>
    <x v="1"/>
    <s v="North-Eve"/>
    <n v="441.2800000000002"/>
    <n v="63188.25"/>
    <n v="6619.2000000000025"/>
  </r>
  <r>
    <n v="1048"/>
    <x v="205"/>
    <x v="0"/>
    <x v="1"/>
    <n v="7066.63"/>
    <n v="47"/>
    <x v="1"/>
    <n v="4535.8599999999997"/>
    <n v="4641.41"/>
    <s v="New"/>
    <n v="0.27"/>
    <x v="2"/>
    <x v="1"/>
    <s v="West-Bob"/>
    <n v="105.55000000000018"/>
    <n v="218146.27"/>
    <n v="4960.8500000000085"/>
  </r>
  <r>
    <n v="1020"/>
    <x v="206"/>
    <x v="2"/>
    <x v="3"/>
    <n v="9705.5499999999993"/>
    <n v="4"/>
    <x v="2"/>
    <n v="3730"/>
    <n v="3893.6"/>
    <s v="New"/>
    <n v="0.25"/>
    <x v="1"/>
    <x v="1"/>
    <s v="East-Charlie"/>
    <n v="163.59999999999991"/>
    <n v="15574.4"/>
    <n v="654.39999999999964"/>
  </r>
  <r>
    <n v="1008"/>
    <x v="207"/>
    <x v="1"/>
    <x v="2"/>
    <n v="4432.8500000000004"/>
    <n v="40"/>
    <x v="2"/>
    <n v="2687.49"/>
    <n v="3001.56"/>
    <s v="Returning"/>
    <n v="0.26"/>
    <x v="1"/>
    <x v="0"/>
    <s v="South-David"/>
    <n v="314.07000000000016"/>
    <n v="120062.39999999999"/>
    <n v="12562.800000000007"/>
  </r>
  <r>
    <n v="1007"/>
    <x v="14"/>
    <x v="3"/>
    <x v="3"/>
    <n v="2426.2399999999998"/>
    <n v="16"/>
    <x v="0"/>
    <n v="4310.3100000000004"/>
    <n v="4633.1000000000004"/>
    <s v="New"/>
    <n v="0.28000000000000003"/>
    <x v="2"/>
    <x v="1"/>
    <s v="East-Eve"/>
    <n v="322.78999999999996"/>
    <n v="74129.600000000006"/>
    <n v="5164.6399999999994"/>
  </r>
  <r>
    <n v="1067"/>
    <x v="119"/>
    <x v="0"/>
    <x v="3"/>
    <n v="7078.22"/>
    <n v="28"/>
    <x v="3"/>
    <n v="3489.85"/>
    <n v="3842.5499999999997"/>
    <s v="New"/>
    <n v="0.03"/>
    <x v="1"/>
    <x v="0"/>
    <s v="East-Bob"/>
    <n v="352.69999999999982"/>
    <n v="107591.4"/>
    <n v="9875.5999999999949"/>
  </r>
  <r>
    <n v="1017"/>
    <x v="156"/>
    <x v="2"/>
    <x v="0"/>
    <n v="8189.57"/>
    <n v="16"/>
    <x v="0"/>
    <n v="102.23"/>
    <n v="167.12"/>
    <s v="New"/>
    <n v="0.04"/>
    <x v="2"/>
    <x v="1"/>
    <s v="North-Charlie"/>
    <n v="64.89"/>
    <n v="2673.92"/>
    <n v="1038.24"/>
  </r>
  <r>
    <n v="1033"/>
    <x v="123"/>
    <x v="0"/>
    <x v="3"/>
    <n v="5509.66"/>
    <n v="4"/>
    <x v="1"/>
    <n v="2000.75"/>
    <n v="2426.9899999999998"/>
    <s v="Returning"/>
    <n v="0.17"/>
    <x v="1"/>
    <x v="0"/>
    <s v="East-Bob"/>
    <n v="426.23999999999978"/>
    <n v="9707.9599999999991"/>
    <n v="1704.9599999999991"/>
  </r>
  <r>
    <n v="1048"/>
    <x v="154"/>
    <x v="1"/>
    <x v="2"/>
    <n v="9673.65"/>
    <n v="45"/>
    <x v="3"/>
    <n v="4262.21"/>
    <n v="4533.3100000000004"/>
    <s v="Returning"/>
    <n v="0.27"/>
    <x v="2"/>
    <x v="0"/>
    <s v="South-David"/>
    <n v="271.10000000000036"/>
    <n v="203998.95"/>
    <n v="12199.500000000016"/>
  </r>
  <r>
    <n v="1076"/>
    <x v="2"/>
    <x v="0"/>
    <x v="0"/>
    <n v="611.52"/>
    <n v="26"/>
    <x v="3"/>
    <n v="1762"/>
    <n v="2002.95"/>
    <s v="Returning"/>
    <n v="0.28999999999999998"/>
    <x v="2"/>
    <x v="1"/>
    <s v="North-Bob"/>
    <n v="240.95000000000005"/>
    <n v="52076.700000000004"/>
    <n v="6264.7000000000007"/>
  </r>
  <r>
    <n v="1059"/>
    <x v="96"/>
    <x v="4"/>
    <x v="0"/>
    <n v="5097.4799999999996"/>
    <n v="28"/>
    <x v="3"/>
    <n v="224.32"/>
    <n v="715.06"/>
    <s v="Returning"/>
    <n v="0.01"/>
    <x v="2"/>
    <x v="0"/>
    <s v="North-Alice"/>
    <n v="490.73999999999995"/>
    <n v="20021.68"/>
    <n v="13740.72"/>
  </r>
  <r>
    <n v="1086"/>
    <x v="208"/>
    <x v="2"/>
    <x v="1"/>
    <n v="7212.69"/>
    <n v="32"/>
    <x v="3"/>
    <n v="3743.59"/>
    <n v="4116.38"/>
    <s v="Returning"/>
    <n v="0.11"/>
    <x v="0"/>
    <x v="0"/>
    <s v="West-Charlie"/>
    <n v="372.78999999999996"/>
    <n v="131724.16"/>
    <n v="11929.279999999999"/>
  </r>
  <r>
    <n v="1022"/>
    <x v="209"/>
    <x v="0"/>
    <x v="1"/>
    <n v="8640.14"/>
    <n v="45"/>
    <x v="0"/>
    <n v="4020.09"/>
    <n v="4087.9100000000003"/>
    <s v="Returning"/>
    <n v="0.06"/>
    <x v="1"/>
    <x v="0"/>
    <s v="West-Bob"/>
    <n v="67.820000000000164"/>
    <n v="183955.95"/>
    <n v="3051.9000000000074"/>
  </r>
  <r>
    <n v="1030"/>
    <x v="101"/>
    <x v="1"/>
    <x v="3"/>
    <n v="1874.63"/>
    <n v="2"/>
    <x v="2"/>
    <n v="844.94"/>
    <n v="1225.6400000000001"/>
    <s v="Returning"/>
    <n v="0.23"/>
    <x v="2"/>
    <x v="0"/>
    <s v="East-David"/>
    <n v="380.70000000000005"/>
    <n v="2451.2800000000002"/>
    <n v="761.40000000000009"/>
  </r>
  <r>
    <n v="1038"/>
    <x v="108"/>
    <x v="1"/>
    <x v="1"/>
    <n v="8020.03"/>
    <n v="31"/>
    <x v="2"/>
    <n v="2709.84"/>
    <n v="2766.51"/>
    <s v="New"/>
    <n v="0.19"/>
    <x v="0"/>
    <x v="1"/>
    <s v="West-David"/>
    <n v="56.670000000000073"/>
    <n v="85761.810000000012"/>
    <n v="1756.7700000000023"/>
  </r>
  <r>
    <n v="1051"/>
    <x v="210"/>
    <x v="0"/>
    <x v="1"/>
    <n v="5571.8"/>
    <n v="3"/>
    <x v="1"/>
    <n v="1000.18"/>
    <n v="1023.64"/>
    <s v="Returning"/>
    <n v="0.04"/>
    <x v="2"/>
    <x v="0"/>
    <s v="West-Bob"/>
    <n v="23.460000000000036"/>
    <n v="3070.92"/>
    <n v="70.380000000000109"/>
  </r>
  <r>
    <n v="1054"/>
    <x v="146"/>
    <x v="1"/>
    <x v="1"/>
    <n v="4025.88"/>
    <n v="8"/>
    <x v="2"/>
    <n v="3610.21"/>
    <n v="3817.9900000000002"/>
    <s v="Returning"/>
    <n v="0.15"/>
    <x v="0"/>
    <x v="1"/>
    <s v="West-David"/>
    <n v="207.7800000000002"/>
    <n v="30543.920000000002"/>
    <n v="1662.2400000000016"/>
  </r>
  <r>
    <n v="1008"/>
    <x v="98"/>
    <x v="3"/>
    <x v="0"/>
    <n v="1403.98"/>
    <n v="24"/>
    <x v="2"/>
    <n v="1394.17"/>
    <n v="1891.02"/>
    <s v="New"/>
    <n v="0.21"/>
    <x v="2"/>
    <x v="0"/>
    <s v="North-Eve"/>
    <n v="496.84999999999991"/>
    <n v="45384.479999999996"/>
    <n v="11924.399999999998"/>
  </r>
  <r>
    <n v="1027"/>
    <x v="162"/>
    <x v="3"/>
    <x v="0"/>
    <n v="8666.43"/>
    <n v="15"/>
    <x v="2"/>
    <n v="1615.26"/>
    <n v="1710.95"/>
    <s v="New"/>
    <n v="0.23"/>
    <x v="2"/>
    <x v="1"/>
    <s v="North-Eve"/>
    <n v="95.690000000000055"/>
    <n v="25664.25"/>
    <n v="1435.3500000000008"/>
  </r>
  <r>
    <n v="1027"/>
    <x v="34"/>
    <x v="3"/>
    <x v="0"/>
    <n v="1657"/>
    <n v="43"/>
    <x v="2"/>
    <n v="4232.6099999999997"/>
    <n v="4572.21"/>
    <s v="New"/>
    <n v="0.01"/>
    <x v="0"/>
    <x v="1"/>
    <s v="North-Eve"/>
    <n v="339.60000000000036"/>
    <n v="196605.03"/>
    <n v="14602.800000000016"/>
  </r>
  <r>
    <n v="1098"/>
    <x v="27"/>
    <x v="4"/>
    <x v="1"/>
    <n v="3166.9"/>
    <n v="31"/>
    <x v="1"/>
    <n v="2407.8000000000002"/>
    <n v="2502.7600000000002"/>
    <s v="Returning"/>
    <n v="0.27"/>
    <x v="0"/>
    <x v="1"/>
    <s v="West-Alice"/>
    <n v="94.960000000000036"/>
    <n v="77585.560000000012"/>
    <n v="2943.7600000000011"/>
  </r>
  <r>
    <n v="1021"/>
    <x v="211"/>
    <x v="0"/>
    <x v="0"/>
    <n v="2971.45"/>
    <n v="9"/>
    <x v="0"/>
    <n v="3365.28"/>
    <n v="3730.4300000000003"/>
    <s v="New"/>
    <n v="0.17"/>
    <x v="1"/>
    <x v="0"/>
    <s v="North-Bob"/>
    <n v="365.15000000000009"/>
    <n v="33573.870000000003"/>
    <n v="3286.3500000000008"/>
  </r>
  <r>
    <n v="1030"/>
    <x v="128"/>
    <x v="4"/>
    <x v="1"/>
    <n v="8727"/>
    <n v="39"/>
    <x v="3"/>
    <n v="2041.75"/>
    <n v="2299.37"/>
    <s v="Returning"/>
    <n v="0.24"/>
    <x v="1"/>
    <x v="1"/>
    <s v="West-Alice"/>
    <n v="257.61999999999989"/>
    <n v="89675.43"/>
    <n v="10047.179999999997"/>
  </r>
  <r>
    <n v="1097"/>
    <x v="212"/>
    <x v="1"/>
    <x v="0"/>
    <n v="6759.76"/>
    <n v="45"/>
    <x v="2"/>
    <n v="1525.13"/>
    <n v="1868.3200000000002"/>
    <s v="Returning"/>
    <n v="0.24"/>
    <x v="0"/>
    <x v="1"/>
    <s v="North-David"/>
    <n v="343.19000000000005"/>
    <n v="84074.400000000009"/>
    <n v="15443.550000000003"/>
  </r>
  <r>
    <n v="1028"/>
    <x v="67"/>
    <x v="4"/>
    <x v="0"/>
    <n v="7987.15"/>
    <n v="2"/>
    <x v="0"/>
    <n v="3146.12"/>
    <n v="3255.5299999999997"/>
    <s v="Returning"/>
    <n v="0.06"/>
    <x v="1"/>
    <x v="0"/>
    <s v="North-Alice"/>
    <n v="109.40999999999985"/>
    <n v="6511.0599999999995"/>
    <n v="218.81999999999971"/>
  </r>
  <r>
    <n v="1064"/>
    <x v="213"/>
    <x v="1"/>
    <x v="2"/>
    <n v="2579.63"/>
    <n v="8"/>
    <x v="2"/>
    <n v="816.54"/>
    <n v="1191.9000000000001"/>
    <s v="New"/>
    <n v="0.03"/>
    <x v="0"/>
    <x v="1"/>
    <s v="South-David"/>
    <n v="375.36000000000013"/>
    <n v="9535.2000000000007"/>
    <n v="3002.880000000001"/>
  </r>
  <r>
    <n v="1097"/>
    <x v="214"/>
    <x v="1"/>
    <x v="3"/>
    <n v="6286.25"/>
    <n v="7"/>
    <x v="2"/>
    <n v="1896.35"/>
    <n v="2394.1999999999998"/>
    <s v="New"/>
    <n v="0.22"/>
    <x v="1"/>
    <x v="0"/>
    <s v="East-David"/>
    <n v="497.84999999999991"/>
    <n v="16759.399999999998"/>
    <n v="3484.9499999999994"/>
  </r>
  <r>
    <n v="1069"/>
    <x v="215"/>
    <x v="2"/>
    <x v="1"/>
    <n v="5760.29"/>
    <n v="44"/>
    <x v="3"/>
    <n v="1084.73"/>
    <n v="1420.9"/>
    <s v="Returning"/>
    <n v="0.05"/>
    <x v="2"/>
    <x v="0"/>
    <s v="West-Charlie"/>
    <n v="336.17000000000007"/>
    <n v="62519.600000000006"/>
    <n v="14791.480000000003"/>
  </r>
  <r>
    <n v="1061"/>
    <x v="20"/>
    <x v="3"/>
    <x v="2"/>
    <n v="8345.02"/>
    <n v="39"/>
    <x v="3"/>
    <n v="3494.19"/>
    <n v="3746"/>
    <s v="Returning"/>
    <n v="0.25"/>
    <x v="1"/>
    <x v="1"/>
    <s v="South-Eve"/>
    <n v="251.80999999999995"/>
    <n v="146094"/>
    <n v="9820.5899999999983"/>
  </r>
  <r>
    <n v="1048"/>
    <x v="33"/>
    <x v="1"/>
    <x v="0"/>
    <n v="9070.26"/>
    <n v="42"/>
    <x v="3"/>
    <n v="4723.83"/>
    <n v="5186.1899999999996"/>
    <s v="Returning"/>
    <n v="0.22"/>
    <x v="2"/>
    <x v="0"/>
    <s v="North-David"/>
    <n v="462.35999999999967"/>
    <n v="217819.97999999998"/>
    <n v="19419.119999999988"/>
  </r>
  <r>
    <n v="1019"/>
    <x v="178"/>
    <x v="2"/>
    <x v="1"/>
    <n v="220.35"/>
    <n v="16"/>
    <x v="2"/>
    <n v="4977.78"/>
    <n v="4995.55"/>
    <s v="New"/>
    <n v="0.25"/>
    <x v="2"/>
    <x v="0"/>
    <s v="West-Charlie"/>
    <n v="17.770000000000437"/>
    <n v="79928.800000000003"/>
    <n v="284.32000000000698"/>
  </r>
  <r>
    <n v="1004"/>
    <x v="216"/>
    <x v="3"/>
    <x v="0"/>
    <n v="6772.8"/>
    <n v="35"/>
    <x v="2"/>
    <n v="2278.87"/>
    <n v="2646.5299999999997"/>
    <s v="Returning"/>
    <n v="0.09"/>
    <x v="1"/>
    <x v="0"/>
    <s v="North-Eve"/>
    <n v="367.65999999999985"/>
    <n v="92628.549999999988"/>
    <n v="12868.099999999995"/>
  </r>
  <r>
    <n v="1035"/>
    <x v="217"/>
    <x v="1"/>
    <x v="3"/>
    <n v="613.16999999999996"/>
    <n v="30"/>
    <x v="2"/>
    <n v="1300.03"/>
    <n v="1745.52"/>
    <s v="New"/>
    <n v="0.09"/>
    <x v="0"/>
    <x v="1"/>
    <s v="East-David"/>
    <n v="445.49"/>
    <n v="52365.599999999999"/>
    <n v="13364.7"/>
  </r>
  <r>
    <n v="1064"/>
    <x v="218"/>
    <x v="1"/>
    <x v="2"/>
    <n v="5533.7"/>
    <n v="10"/>
    <x v="3"/>
    <n v="2242.0100000000002"/>
    <n v="2282.23"/>
    <s v="Returning"/>
    <n v="0.2"/>
    <x v="2"/>
    <x v="0"/>
    <s v="South-David"/>
    <n v="40.2199999999998"/>
    <n v="22822.3"/>
    <n v="402.199999999998"/>
  </r>
  <r>
    <n v="1049"/>
    <x v="131"/>
    <x v="4"/>
    <x v="3"/>
    <n v="2947.56"/>
    <n v="38"/>
    <x v="1"/>
    <n v="4243.9799999999996"/>
    <n v="4474.5099999999993"/>
    <s v="New"/>
    <n v="0.01"/>
    <x v="2"/>
    <x v="0"/>
    <s v="East-Alice"/>
    <n v="230.52999999999975"/>
    <n v="170031.37999999998"/>
    <n v="8760.1399999999903"/>
  </r>
  <r>
    <n v="1017"/>
    <x v="219"/>
    <x v="4"/>
    <x v="2"/>
    <n v="3137.09"/>
    <n v="18"/>
    <x v="0"/>
    <n v="1069.73"/>
    <n v="1180.04"/>
    <s v="Returning"/>
    <n v="0.22"/>
    <x v="1"/>
    <x v="0"/>
    <s v="South-Alice"/>
    <n v="110.30999999999995"/>
    <n v="21240.720000000001"/>
    <n v="1985.579999999999"/>
  </r>
  <r>
    <n v="1044"/>
    <x v="142"/>
    <x v="3"/>
    <x v="0"/>
    <n v="3594.29"/>
    <n v="5"/>
    <x v="1"/>
    <n v="4762.87"/>
    <n v="5050.46"/>
    <s v="New"/>
    <n v="0.25"/>
    <x v="0"/>
    <x v="1"/>
    <s v="North-Eve"/>
    <n v="287.59000000000015"/>
    <n v="25252.3"/>
    <n v="1437.9500000000007"/>
  </r>
  <r>
    <n v="1092"/>
    <x v="220"/>
    <x v="1"/>
    <x v="3"/>
    <n v="6250.8"/>
    <n v="29"/>
    <x v="2"/>
    <n v="1742.24"/>
    <n v="2070.52"/>
    <s v="New"/>
    <n v="0.12"/>
    <x v="0"/>
    <x v="0"/>
    <s v="East-David"/>
    <n v="328.28"/>
    <n v="60045.08"/>
    <n v="9520.119999999999"/>
  </r>
  <r>
    <n v="1030"/>
    <x v="221"/>
    <x v="0"/>
    <x v="3"/>
    <n v="3407.09"/>
    <n v="39"/>
    <x v="2"/>
    <n v="4929.7299999999996"/>
    <n v="5088.0199999999995"/>
    <s v="New"/>
    <n v="0.23"/>
    <x v="1"/>
    <x v="1"/>
    <s v="East-Bob"/>
    <n v="158.28999999999996"/>
    <n v="198432.77999999997"/>
    <n v="6173.3099999999986"/>
  </r>
  <r>
    <n v="1093"/>
    <x v="222"/>
    <x v="4"/>
    <x v="0"/>
    <n v="7353.72"/>
    <n v="34"/>
    <x v="1"/>
    <n v="4201.1099999999997"/>
    <n v="4436.5"/>
    <s v="New"/>
    <n v="0.05"/>
    <x v="0"/>
    <x v="0"/>
    <s v="North-Alice"/>
    <n v="235.39000000000033"/>
    <n v="150841"/>
    <n v="8003.2600000000111"/>
  </r>
  <r>
    <n v="1046"/>
    <x v="54"/>
    <x v="3"/>
    <x v="3"/>
    <n v="4104.82"/>
    <n v="43"/>
    <x v="2"/>
    <n v="4052.42"/>
    <n v="4199.3"/>
    <s v="New"/>
    <n v="0.1"/>
    <x v="1"/>
    <x v="1"/>
    <s v="East-Eve"/>
    <n v="146.88000000000011"/>
    <n v="180569.9"/>
    <n v="6315.8400000000047"/>
  </r>
  <r>
    <n v="1006"/>
    <x v="70"/>
    <x v="1"/>
    <x v="1"/>
    <n v="776.7"/>
    <n v="45"/>
    <x v="0"/>
    <n v="1623.63"/>
    <n v="1814.63"/>
    <s v="New"/>
    <n v="0.28999999999999998"/>
    <x v="1"/>
    <x v="1"/>
    <s v="West-David"/>
    <n v="191"/>
    <n v="81658.350000000006"/>
    <n v="8595"/>
  </r>
  <r>
    <n v="1099"/>
    <x v="62"/>
    <x v="1"/>
    <x v="2"/>
    <n v="7859.22"/>
    <n v="23"/>
    <x v="2"/>
    <n v="93.45"/>
    <n v="181.62"/>
    <s v="Returning"/>
    <n v="0.3"/>
    <x v="1"/>
    <x v="1"/>
    <s v="South-David"/>
    <n v="88.17"/>
    <n v="4177.26"/>
    <n v="2027.91"/>
  </r>
  <r>
    <n v="1037"/>
    <x v="223"/>
    <x v="0"/>
    <x v="2"/>
    <n v="2929.01"/>
    <n v="5"/>
    <x v="0"/>
    <n v="1941.56"/>
    <n v="2385.48"/>
    <s v="Returning"/>
    <n v="0.15"/>
    <x v="2"/>
    <x v="0"/>
    <s v="South-Bob"/>
    <n v="443.92000000000007"/>
    <n v="11927.4"/>
    <n v="2219.6000000000004"/>
  </r>
  <r>
    <n v="1024"/>
    <x v="195"/>
    <x v="3"/>
    <x v="2"/>
    <n v="4384.3900000000003"/>
    <n v="30"/>
    <x v="1"/>
    <n v="1543.96"/>
    <n v="1558.8700000000001"/>
    <s v="Returning"/>
    <n v="0.28000000000000003"/>
    <x v="2"/>
    <x v="0"/>
    <s v="South-Eve"/>
    <n v="14.910000000000082"/>
    <n v="46766.100000000006"/>
    <n v="447.30000000000246"/>
  </r>
  <r>
    <n v="1093"/>
    <x v="11"/>
    <x v="1"/>
    <x v="1"/>
    <n v="6885.89"/>
    <n v="6"/>
    <x v="1"/>
    <n v="235.12"/>
    <n v="677.5"/>
    <s v="Returning"/>
    <n v="0.16"/>
    <x v="2"/>
    <x v="0"/>
    <s v="West-David"/>
    <n v="442.38"/>
    <n v="4065"/>
    <n v="2654.2799999999997"/>
  </r>
  <r>
    <n v="1046"/>
    <x v="224"/>
    <x v="4"/>
    <x v="2"/>
    <n v="3391.32"/>
    <n v="46"/>
    <x v="2"/>
    <n v="2551.56"/>
    <n v="2841.68"/>
    <s v="New"/>
    <n v="0.09"/>
    <x v="1"/>
    <x v="1"/>
    <s v="South-Alice"/>
    <n v="290.11999999999989"/>
    <n v="130717.28"/>
    <n v="13345.519999999995"/>
  </r>
  <r>
    <n v="1053"/>
    <x v="225"/>
    <x v="0"/>
    <x v="0"/>
    <n v="660.2"/>
    <n v="44"/>
    <x v="0"/>
    <n v="2045"/>
    <n v="2217.5100000000002"/>
    <s v="Returning"/>
    <n v="0.08"/>
    <x v="2"/>
    <x v="0"/>
    <s v="North-Bob"/>
    <n v="172.51000000000022"/>
    <n v="97570.44"/>
    <n v="7590.4400000000096"/>
  </r>
  <r>
    <n v="1095"/>
    <x v="182"/>
    <x v="3"/>
    <x v="3"/>
    <n v="3801.82"/>
    <n v="4"/>
    <x v="2"/>
    <n v="3191.05"/>
    <n v="3555.3500000000004"/>
    <s v="New"/>
    <n v="0.28000000000000003"/>
    <x v="2"/>
    <x v="0"/>
    <s v="East-Eve"/>
    <n v="364.30000000000018"/>
    <n v="14221.400000000001"/>
    <n v="1457.2000000000007"/>
  </r>
  <r>
    <n v="1099"/>
    <x v="174"/>
    <x v="0"/>
    <x v="1"/>
    <n v="9450.0400000000009"/>
    <n v="29"/>
    <x v="3"/>
    <n v="3124.87"/>
    <n v="3383.67"/>
    <s v="New"/>
    <n v="0.05"/>
    <x v="2"/>
    <x v="1"/>
    <s v="West-Bob"/>
    <n v="258.80000000000018"/>
    <n v="98126.430000000008"/>
    <n v="7505.2000000000053"/>
  </r>
  <r>
    <n v="1060"/>
    <x v="226"/>
    <x v="4"/>
    <x v="2"/>
    <n v="6453.17"/>
    <n v="23"/>
    <x v="3"/>
    <n v="647.70000000000005"/>
    <n v="902.26"/>
    <s v="New"/>
    <n v="0.17"/>
    <x v="1"/>
    <x v="0"/>
    <s v="South-Alice"/>
    <n v="254.55999999999995"/>
    <n v="20751.98"/>
    <n v="5854.8799999999992"/>
  </r>
  <r>
    <n v="1097"/>
    <x v="227"/>
    <x v="3"/>
    <x v="0"/>
    <n v="6747.64"/>
    <n v="6"/>
    <x v="3"/>
    <n v="4885.9799999999996"/>
    <n v="4949.95"/>
    <s v="Returning"/>
    <n v="0.17"/>
    <x v="1"/>
    <x v="0"/>
    <s v="North-Eve"/>
    <n v="63.970000000000255"/>
    <n v="29699.699999999997"/>
    <n v="383.82000000000153"/>
  </r>
  <r>
    <n v="1063"/>
    <x v="166"/>
    <x v="0"/>
    <x v="3"/>
    <n v="6359.59"/>
    <n v="32"/>
    <x v="3"/>
    <n v="975.31"/>
    <n v="1176.17"/>
    <s v="New"/>
    <n v="0.22"/>
    <x v="1"/>
    <x v="1"/>
    <s v="East-Bob"/>
    <n v="200.86000000000013"/>
    <n v="37637.440000000002"/>
    <n v="6427.5200000000041"/>
  </r>
  <r>
    <n v="1085"/>
    <x v="189"/>
    <x v="2"/>
    <x v="3"/>
    <n v="2070.02"/>
    <n v="42"/>
    <x v="2"/>
    <n v="2254.11"/>
    <n v="2382.23"/>
    <s v="Returning"/>
    <n v="0.15"/>
    <x v="2"/>
    <x v="1"/>
    <s v="East-Charlie"/>
    <n v="128.11999999999989"/>
    <n v="100053.66"/>
    <n v="5381.0399999999954"/>
  </r>
  <r>
    <n v="1032"/>
    <x v="210"/>
    <x v="4"/>
    <x v="1"/>
    <n v="4241.51"/>
    <n v="18"/>
    <x v="3"/>
    <n v="2466.1799999999998"/>
    <n v="2483.87"/>
    <s v="Returning"/>
    <n v="0.08"/>
    <x v="0"/>
    <x v="0"/>
    <s v="West-Alice"/>
    <n v="17.690000000000055"/>
    <n v="44709.659999999996"/>
    <n v="318.42000000000098"/>
  </r>
  <r>
    <n v="1087"/>
    <x v="228"/>
    <x v="4"/>
    <x v="1"/>
    <n v="7534.3"/>
    <n v="15"/>
    <x v="0"/>
    <n v="4074.66"/>
    <n v="4261.1099999999997"/>
    <s v="Returning"/>
    <n v="0.05"/>
    <x v="2"/>
    <x v="1"/>
    <s v="West-Alice"/>
    <n v="186.44999999999982"/>
    <n v="63916.649999999994"/>
    <n v="2796.7499999999973"/>
  </r>
  <r>
    <n v="1033"/>
    <x v="186"/>
    <x v="4"/>
    <x v="1"/>
    <n v="1103.5899999999999"/>
    <n v="40"/>
    <x v="1"/>
    <n v="541.19000000000005"/>
    <n v="595.20000000000005"/>
    <s v="Returning"/>
    <n v="0.19"/>
    <x v="2"/>
    <x v="0"/>
    <s v="West-Alice"/>
    <n v="54.009999999999991"/>
    <n v="23808"/>
    <n v="2160.3999999999996"/>
  </r>
  <r>
    <n v="1067"/>
    <x v="173"/>
    <x v="2"/>
    <x v="0"/>
    <n v="2850.74"/>
    <n v="32"/>
    <x v="1"/>
    <n v="2171.79"/>
    <n v="2307.64"/>
    <s v="Returning"/>
    <n v="0.22"/>
    <x v="1"/>
    <x v="0"/>
    <s v="North-Charlie"/>
    <n v="135.84999999999991"/>
    <n v="73844.479999999996"/>
    <n v="4347.1999999999971"/>
  </r>
  <r>
    <n v="1018"/>
    <x v="185"/>
    <x v="2"/>
    <x v="0"/>
    <n v="2835.56"/>
    <n v="9"/>
    <x v="3"/>
    <n v="3161.09"/>
    <n v="3216.42"/>
    <s v="New"/>
    <n v="0.17"/>
    <x v="1"/>
    <x v="0"/>
    <s v="North-Charlie"/>
    <n v="55.329999999999927"/>
    <n v="28947.78"/>
    <n v="497.96999999999935"/>
  </r>
  <r>
    <n v="1025"/>
    <x v="229"/>
    <x v="1"/>
    <x v="1"/>
    <n v="4376.99"/>
    <n v="37"/>
    <x v="3"/>
    <n v="1115.02"/>
    <n v="1174.48"/>
    <s v="New"/>
    <n v="0.22"/>
    <x v="2"/>
    <x v="0"/>
    <s v="West-David"/>
    <n v="59.460000000000036"/>
    <n v="43455.76"/>
    <n v="2200.0200000000013"/>
  </r>
  <r>
    <n v="1095"/>
    <x v="137"/>
    <x v="0"/>
    <x v="2"/>
    <n v="9805.65"/>
    <n v="10"/>
    <x v="3"/>
    <n v="3155.97"/>
    <n v="3263.49"/>
    <s v="Returning"/>
    <n v="0.04"/>
    <x v="2"/>
    <x v="0"/>
    <s v="South-Bob"/>
    <n v="107.51999999999998"/>
    <n v="32634.899999999998"/>
    <n v="1075.1999999999998"/>
  </r>
  <r>
    <n v="1054"/>
    <x v="229"/>
    <x v="1"/>
    <x v="3"/>
    <n v="768.28"/>
    <n v="20"/>
    <x v="2"/>
    <n v="4622.1400000000003"/>
    <n v="5122.0700000000006"/>
    <s v="New"/>
    <n v="0.26"/>
    <x v="0"/>
    <x v="1"/>
    <s v="East-David"/>
    <n v="499.93000000000029"/>
    <n v="102441.40000000001"/>
    <n v="9998.6000000000058"/>
  </r>
  <r>
    <n v="1058"/>
    <x v="107"/>
    <x v="0"/>
    <x v="3"/>
    <n v="5235.1400000000003"/>
    <n v="6"/>
    <x v="1"/>
    <n v="4987.71"/>
    <n v="4998.78"/>
    <s v="Returning"/>
    <n v="0.17"/>
    <x v="0"/>
    <x v="1"/>
    <s v="East-Bob"/>
    <n v="11.069999999999709"/>
    <n v="29992.68"/>
    <n v="66.419999999998254"/>
  </r>
  <r>
    <n v="1067"/>
    <x v="230"/>
    <x v="2"/>
    <x v="0"/>
    <n v="1875.71"/>
    <n v="48"/>
    <x v="3"/>
    <n v="210.63"/>
    <n v="533.57999999999993"/>
    <s v="New"/>
    <n v="0.04"/>
    <x v="1"/>
    <x v="0"/>
    <s v="North-Charlie"/>
    <n v="322.94999999999993"/>
    <n v="25611.839999999997"/>
    <n v="15501.599999999997"/>
  </r>
  <r>
    <n v="1046"/>
    <x v="32"/>
    <x v="2"/>
    <x v="3"/>
    <n v="9709.7000000000007"/>
    <n v="3"/>
    <x v="0"/>
    <n v="1216.1600000000001"/>
    <n v="1295.3700000000001"/>
    <s v="New"/>
    <n v="0.14000000000000001"/>
    <x v="0"/>
    <x v="1"/>
    <s v="East-Charlie"/>
    <n v="79.210000000000036"/>
    <n v="3886.1100000000006"/>
    <n v="237.63000000000011"/>
  </r>
  <r>
    <n v="1024"/>
    <x v="104"/>
    <x v="1"/>
    <x v="2"/>
    <n v="1221.7"/>
    <n v="42"/>
    <x v="3"/>
    <n v="1586.02"/>
    <n v="2047.13"/>
    <s v="New"/>
    <n v="0.25"/>
    <x v="0"/>
    <x v="1"/>
    <s v="South-David"/>
    <n v="461.11000000000013"/>
    <n v="85979.46"/>
    <n v="19366.620000000006"/>
  </r>
  <r>
    <n v="1032"/>
    <x v="231"/>
    <x v="3"/>
    <x v="3"/>
    <n v="4095.65"/>
    <n v="11"/>
    <x v="1"/>
    <n v="2025.67"/>
    <n v="2081.5500000000002"/>
    <s v="New"/>
    <n v="0.27"/>
    <x v="1"/>
    <x v="0"/>
    <s v="East-Eve"/>
    <n v="55.880000000000109"/>
    <n v="22897.050000000003"/>
    <n v="614.6800000000012"/>
  </r>
  <r>
    <n v="1047"/>
    <x v="197"/>
    <x v="1"/>
    <x v="0"/>
    <n v="7405.06"/>
    <n v="43"/>
    <x v="3"/>
    <n v="1249.17"/>
    <n v="1727.15"/>
    <s v="New"/>
    <n v="0.08"/>
    <x v="0"/>
    <x v="1"/>
    <s v="North-David"/>
    <n v="477.98"/>
    <n v="74267.45"/>
    <n v="20553.14"/>
  </r>
  <r>
    <n v="1086"/>
    <x v="232"/>
    <x v="0"/>
    <x v="0"/>
    <n v="7075.09"/>
    <n v="17"/>
    <x v="1"/>
    <n v="1057.27"/>
    <n v="1366.62"/>
    <s v="New"/>
    <n v="0.21"/>
    <x v="2"/>
    <x v="1"/>
    <s v="North-Bob"/>
    <n v="309.34999999999991"/>
    <n v="23232.539999999997"/>
    <n v="5258.9499999999989"/>
  </r>
  <r>
    <n v="1023"/>
    <x v="233"/>
    <x v="1"/>
    <x v="2"/>
    <n v="4285.01"/>
    <n v="32"/>
    <x v="3"/>
    <n v="4775.04"/>
    <n v="4785.66"/>
    <s v="New"/>
    <n v="0.03"/>
    <x v="0"/>
    <x v="0"/>
    <s v="South-David"/>
    <n v="10.619999999999891"/>
    <n v="153141.12"/>
    <n v="339.83999999999651"/>
  </r>
  <r>
    <n v="1066"/>
    <x v="234"/>
    <x v="4"/>
    <x v="2"/>
    <n v="3530.59"/>
    <n v="4"/>
    <x v="0"/>
    <n v="4596.68"/>
    <n v="5044.7400000000007"/>
    <s v="New"/>
    <n v="0.01"/>
    <x v="1"/>
    <x v="0"/>
    <s v="South-Alice"/>
    <n v="448.0600000000004"/>
    <n v="20178.960000000003"/>
    <n v="1792.2400000000016"/>
  </r>
  <r>
    <n v="1027"/>
    <x v="235"/>
    <x v="0"/>
    <x v="3"/>
    <n v="4036.36"/>
    <n v="4"/>
    <x v="3"/>
    <n v="282.61"/>
    <n v="548.25"/>
    <s v="New"/>
    <n v="0.17"/>
    <x v="2"/>
    <x v="0"/>
    <s v="East-Bob"/>
    <n v="265.64"/>
    <n v="2193"/>
    <n v="1062.56"/>
  </r>
  <r>
    <n v="1002"/>
    <x v="21"/>
    <x v="0"/>
    <x v="3"/>
    <n v="2716.34"/>
    <n v="17"/>
    <x v="0"/>
    <n v="1727.12"/>
    <n v="1865.83"/>
    <s v="New"/>
    <n v="0.21"/>
    <x v="0"/>
    <x v="0"/>
    <s v="East-Bob"/>
    <n v="138.71000000000004"/>
    <n v="31719.11"/>
    <n v="2358.0700000000006"/>
  </r>
  <r>
    <n v="1090"/>
    <x v="168"/>
    <x v="3"/>
    <x v="0"/>
    <n v="2132.8000000000002"/>
    <n v="41"/>
    <x v="0"/>
    <n v="2055.4899999999998"/>
    <n v="2441.46"/>
    <s v="New"/>
    <n v="0.24"/>
    <x v="2"/>
    <x v="0"/>
    <s v="North-Eve"/>
    <n v="385.97000000000025"/>
    <n v="100099.86"/>
    <n v="15824.770000000011"/>
  </r>
  <r>
    <n v="1017"/>
    <x v="157"/>
    <x v="2"/>
    <x v="2"/>
    <n v="4882.09"/>
    <n v="19"/>
    <x v="3"/>
    <n v="1233.1199999999999"/>
    <n v="1697.1899999999998"/>
    <s v="New"/>
    <n v="0.1"/>
    <x v="2"/>
    <x v="0"/>
    <s v="South-Charlie"/>
    <n v="464.06999999999994"/>
    <n v="32246.609999999997"/>
    <n v="8817.3299999999981"/>
  </r>
  <r>
    <n v="1033"/>
    <x v="236"/>
    <x v="0"/>
    <x v="2"/>
    <n v="2758.48"/>
    <n v="5"/>
    <x v="0"/>
    <n v="3162.92"/>
    <n v="3409.9300000000003"/>
    <s v="New"/>
    <n v="0"/>
    <x v="0"/>
    <x v="0"/>
    <s v="South-Bob"/>
    <n v="247.01000000000022"/>
    <n v="17049.650000000001"/>
    <n v="1235.0500000000011"/>
  </r>
  <r>
    <n v="1009"/>
    <x v="237"/>
    <x v="2"/>
    <x v="2"/>
    <n v="2945.87"/>
    <n v="32"/>
    <x v="2"/>
    <n v="3219.88"/>
    <n v="3384.5"/>
    <s v="Returning"/>
    <n v="0.14000000000000001"/>
    <x v="0"/>
    <x v="1"/>
    <s v="South-Charlie"/>
    <n v="164.61999999999989"/>
    <n v="108304"/>
    <n v="5267.8399999999965"/>
  </r>
  <r>
    <n v="1043"/>
    <x v="186"/>
    <x v="1"/>
    <x v="3"/>
    <n v="6601.89"/>
    <n v="22"/>
    <x v="3"/>
    <n v="4260"/>
    <n v="4656.58"/>
    <s v="New"/>
    <n v="0"/>
    <x v="1"/>
    <x v="0"/>
    <s v="East-David"/>
    <n v="396.57999999999993"/>
    <n v="102444.76"/>
    <n v="8724.7599999999984"/>
  </r>
  <r>
    <n v="1048"/>
    <x v="62"/>
    <x v="4"/>
    <x v="2"/>
    <n v="9688.52"/>
    <n v="6"/>
    <x v="3"/>
    <n v="3717.3"/>
    <n v="4061.3700000000003"/>
    <s v="New"/>
    <n v="0.03"/>
    <x v="1"/>
    <x v="1"/>
    <s v="South-Alice"/>
    <n v="344.07000000000016"/>
    <n v="24368.22"/>
    <n v="2064.420000000001"/>
  </r>
  <r>
    <n v="1039"/>
    <x v="37"/>
    <x v="3"/>
    <x v="0"/>
    <n v="6076.01"/>
    <n v="35"/>
    <x v="0"/>
    <n v="2735.74"/>
    <n v="3181.2299999999996"/>
    <s v="New"/>
    <n v="0.1"/>
    <x v="2"/>
    <x v="1"/>
    <s v="North-Eve"/>
    <n v="445.48999999999978"/>
    <n v="111343.04999999999"/>
    <n v="15592.149999999992"/>
  </r>
  <r>
    <n v="1093"/>
    <x v="49"/>
    <x v="2"/>
    <x v="0"/>
    <n v="862.1"/>
    <n v="22"/>
    <x v="0"/>
    <n v="3285.25"/>
    <n v="3634.58"/>
    <s v="New"/>
    <n v="0.13"/>
    <x v="1"/>
    <x v="0"/>
    <s v="North-Charlie"/>
    <n v="349.32999999999993"/>
    <n v="79960.759999999995"/>
    <n v="7685.2599999999984"/>
  </r>
  <r>
    <n v="1042"/>
    <x v="238"/>
    <x v="0"/>
    <x v="3"/>
    <n v="848.28"/>
    <n v="1"/>
    <x v="3"/>
    <n v="1406.24"/>
    <n v="1535.57"/>
    <s v="New"/>
    <n v="0.08"/>
    <x v="2"/>
    <x v="1"/>
    <s v="East-Bob"/>
    <n v="129.32999999999993"/>
    <n v="1535.57"/>
    <n v="129.32999999999993"/>
  </r>
  <r>
    <n v="1026"/>
    <x v="173"/>
    <x v="2"/>
    <x v="1"/>
    <n v="9519.09"/>
    <n v="20"/>
    <x v="2"/>
    <n v="2985.63"/>
    <n v="3452.1400000000003"/>
    <s v="New"/>
    <n v="0.17"/>
    <x v="2"/>
    <x v="1"/>
    <s v="West-Charlie"/>
    <n v="466.51000000000022"/>
    <n v="69042.8"/>
    <n v="9330.2000000000044"/>
  </r>
  <r>
    <n v="1099"/>
    <x v="239"/>
    <x v="0"/>
    <x v="3"/>
    <n v="3043.18"/>
    <n v="22"/>
    <x v="0"/>
    <n v="2471.67"/>
    <n v="2533.04"/>
    <s v="Returning"/>
    <n v="0.02"/>
    <x v="1"/>
    <x v="1"/>
    <s v="East-Bob"/>
    <n v="61.369999999999891"/>
    <n v="55726.879999999997"/>
    <n v="1350.1399999999976"/>
  </r>
  <r>
    <n v="1050"/>
    <x v="5"/>
    <x v="2"/>
    <x v="1"/>
    <n v="1011.46"/>
    <n v="48"/>
    <x v="0"/>
    <n v="710.06"/>
    <n v="851.34999999999991"/>
    <s v="Returning"/>
    <n v="0.04"/>
    <x v="1"/>
    <x v="0"/>
    <s v="West-Charlie"/>
    <n v="141.28999999999996"/>
    <n v="40864.799999999996"/>
    <n v="6781.9199999999983"/>
  </r>
  <r>
    <n v="1025"/>
    <x v="64"/>
    <x v="0"/>
    <x v="2"/>
    <n v="6030.54"/>
    <n v="11"/>
    <x v="1"/>
    <n v="1250.5899999999999"/>
    <n v="1515.4899999999998"/>
    <s v="Returning"/>
    <n v="0.21"/>
    <x v="1"/>
    <x v="1"/>
    <s v="South-Bob"/>
    <n v="264.89999999999986"/>
    <n v="16670.39"/>
    <n v="2913.8999999999987"/>
  </r>
  <r>
    <n v="1024"/>
    <x v="240"/>
    <x v="1"/>
    <x v="3"/>
    <n v="6274.12"/>
    <n v="13"/>
    <x v="2"/>
    <n v="1493.88"/>
    <n v="1781.0900000000001"/>
    <s v="New"/>
    <n v="0.04"/>
    <x v="0"/>
    <x v="1"/>
    <s v="East-David"/>
    <n v="287.21000000000004"/>
    <n v="23154.170000000002"/>
    <n v="3733.7300000000005"/>
  </r>
  <r>
    <n v="1013"/>
    <x v="0"/>
    <x v="0"/>
    <x v="0"/>
    <n v="6520.2"/>
    <n v="42"/>
    <x v="2"/>
    <n v="4625.33"/>
    <n v="4642.83"/>
    <s v="New"/>
    <n v="0.19"/>
    <x v="2"/>
    <x v="0"/>
    <s v="North-Bob"/>
    <n v="17.5"/>
    <n v="194998.86"/>
    <n v="735"/>
  </r>
  <r>
    <n v="1060"/>
    <x v="172"/>
    <x v="0"/>
    <x v="2"/>
    <n v="2747.28"/>
    <n v="3"/>
    <x v="3"/>
    <n v="1190.4100000000001"/>
    <n v="1582.89"/>
    <s v="New"/>
    <n v="0.02"/>
    <x v="2"/>
    <x v="1"/>
    <s v="South-Bob"/>
    <n v="392.48"/>
    <n v="4748.67"/>
    <n v="1177.44"/>
  </r>
  <r>
    <n v="1007"/>
    <x v="98"/>
    <x v="4"/>
    <x v="0"/>
    <n v="249.6"/>
    <n v="9"/>
    <x v="2"/>
    <n v="1481.76"/>
    <n v="1668.95"/>
    <s v="Returning"/>
    <n v="0.12"/>
    <x v="2"/>
    <x v="1"/>
    <s v="North-Alice"/>
    <n v="187.19000000000005"/>
    <n v="15020.550000000001"/>
    <n v="1684.7100000000005"/>
  </r>
  <r>
    <n v="1057"/>
    <x v="115"/>
    <x v="0"/>
    <x v="2"/>
    <n v="9653.65"/>
    <n v="12"/>
    <x v="3"/>
    <n v="1878.3"/>
    <n v="2087.4499999999998"/>
    <s v="New"/>
    <n v="0.05"/>
    <x v="1"/>
    <x v="1"/>
    <s v="South-Bob"/>
    <n v="209.14999999999986"/>
    <n v="25049.399999999998"/>
    <n v="2509.7999999999984"/>
  </r>
  <r>
    <n v="1036"/>
    <x v="85"/>
    <x v="4"/>
    <x v="3"/>
    <n v="2583.84"/>
    <n v="23"/>
    <x v="1"/>
    <n v="3335.53"/>
    <n v="3742.1200000000003"/>
    <s v="New"/>
    <n v="0.03"/>
    <x v="1"/>
    <x v="1"/>
    <s v="East-Alice"/>
    <n v="406.59000000000015"/>
    <n v="86068.760000000009"/>
    <n v="9351.5700000000033"/>
  </r>
  <r>
    <n v="1045"/>
    <x v="201"/>
    <x v="3"/>
    <x v="1"/>
    <n v="6792.66"/>
    <n v="14"/>
    <x v="2"/>
    <n v="635.28"/>
    <n v="831.13"/>
    <s v="Returning"/>
    <n v="0.17"/>
    <x v="1"/>
    <x v="1"/>
    <s v="West-Eve"/>
    <n v="195.85000000000002"/>
    <n v="11635.82"/>
    <n v="2741.9000000000005"/>
  </r>
  <r>
    <n v="1020"/>
    <x v="167"/>
    <x v="4"/>
    <x v="2"/>
    <n v="7095.64"/>
    <n v="33"/>
    <x v="0"/>
    <n v="4772.03"/>
    <n v="4805.17"/>
    <s v="Returning"/>
    <n v="0.28000000000000003"/>
    <x v="1"/>
    <x v="0"/>
    <s v="South-Alice"/>
    <n v="33.140000000000327"/>
    <n v="158570.61000000002"/>
    <n v="1093.6200000000108"/>
  </r>
  <r>
    <n v="1065"/>
    <x v="241"/>
    <x v="1"/>
    <x v="1"/>
    <n v="6139.07"/>
    <n v="18"/>
    <x v="1"/>
    <n v="4334.58"/>
    <n v="4431.04"/>
    <s v="New"/>
    <n v="0.02"/>
    <x v="1"/>
    <x v="1"/>
    <s v="West-David"/>
    <n v="96.460000000000036"/>
    <n v="79758.720000000001"/>
    <n v="1736.2800000000007"/>
  </r>
  <r>
    <n v="1008"/>
    <x v="182"/>
    <x v="4"/>
    <x v="2"/>
    <n v="3197.78"/>
    <n v="49"/>
    <x v="3"/>
    <n v="2907.22"/>
    <n v="3385.6099999999997"/>
    <s v="New"/>
    <n v="0.13"/>
    <x v="0"/>
    <x v="0"/>
    <s v="South-Alice"/>
    <n v="478.38999999999987"/>
    <n v="165894.88999999998"/>
    <n v="23441.109999999993"/>
  </r>
  <r>
    <n v="1016"/>
    <x v="242"/>
    <x v="3"/>
    <x v="0"/>
    <n v="2783.85"/>
    <n v="41"/>
    <x v="1"/>
    <n v="3386.49"/>
    <n v="3430.99"/>
    <s v="New"/>
    <n v="0.21"/>
    <x v="1"/>
    <x v="1"/>
    <s v="North-Eve"/>
    <n v="44.5"/>
    <n v="140670.59"/>
    <n v="1824.5"/>
  </r>
  <r>
    <n v="1014"/>
    <x v="163"/>
    <x v="1"/>
    <x v="0"/>
    <n v="6016.92"/>
    <n v="9"/>
    <x v="3"/>
    <n v="132.47"/>
    <n v="316.39"/>
    <s v="New"/>
    <n v="0.14000000000000001"/>
    <x v="2"/>
    <x v="0"/>
    <s v="North-David"/>
    <n v="183.92"/>
    <n v="2847.5099999999998"/>
    <n v="1655.28"/>
  </r>
  <r>
    <n v="1076"/>
    <x v="155"/>
    <x v="2"/>
    <x v="2"/>
    <n v="8674.35"/>
    <n v="23"/>
    <x v="1"/>
    <n v="1727.78"/>
    <n v="1984.34"/>
    <s v="Returning"/>
    <n v="0.24"/>
    <x v="1"/>
    <x v="0"/>
    <s v="South-Charlie"/>
    <n v="256.55999999999995"/>
    <n v="45639.82"/>
    <n v="5900.8799999999992"/>
  </r>
  <r>
    <n v="1087"/>
    <x v="39"/>
    <x v="2"/>
    <x v="1"/>
    <n v="9472.66"/>
    <n v="10"/>
    <x v="3"/>
    <n v="3988.52"/>
    <n v="4240.2299999999996"/>
    <s v="New"/>
    <n v="0.05"/>
    <x v="2"/>
    <x v="0"/>
    <s v="West-Charlie"/>
    <n v="251.70999999999958"/>
    <n v="42402.299999999996"/>
    <n v="2517.0999999999958"/>
  </r>
  <r>
    <n v="1015"/>
    <x v="243"/>
    <x v="4"/>
    <x v="3"/>
    <n v="1148.47"/>
    <n v="19"/>
    <x v="2"/>
    <n v="433.54"/>
    <n v="445.48"/>
    <s v="New"/>
    <n v="0.28999999999999998"/>
    <x v="1"/>
    <x v="1"/>
    <s v="East-Alice"/>
    <n v="11.939999999999998"/>
    <n v="8464.1200000000008"/>
    <n v="226.85999999999996"/>
  </r>
  <r>
    <n v="1092"/>
    <x v="74"/>
    <x v="4"/>
    <x v="3"/>
    <n v="1632.8"/>
    <n v="47"/>
    <x v="0"/>
    <n v="1447.45"/>
    <n v="1703.02"/>
    <s v="Returning"/>
    <n v="0.12"/>
    <x v="1"/>
    <x v="1"/>
    <s v="East-Alice"/>
    <n v="255.56999999999994"/>
    <n v="80041.94"/>
    <n v="12011.789999999997"/>
  </r>
  <r>
    <n v="1098"/>
    <x v="237"/>
    <x v="3"/>
    <x v="0"/>
    <n v="9452.89"/>
    <n v="5"/>
    <x v="3"/>
    <n v="2947.22"/>
    <n v="3145.27"/>
    <s v="New"/>
    <n v="0.1"/>
    <x v="2"/>
    <x v="1"/>
    <s v="North-Eve"/>
    <n v="198.05000000000018"/>
    <n v="15726.35"/>
    <n v="990.25000000000091"/>
  </r>
  <r>
    <n v="1066"/>
    <x v="244"/>
    <x v="3"/>
    <x v="3"/>
    <n v="7391.7"/>
    <n v="47"/>
    <x v="1"/>
    <n v="1319.24"/>
    <n v="1805.56"/>
    <s v="New"/>
    <n v="0.26"/>
    <x v="2"/>
    <x v="1"/>
    <s v="East-Eve"/>
    <n v="486.31999999999994"/>
    <n v="84861.319999999992"/>
    <n v="22857.039999999997"/>
  </r>
  <r>
    <n v="1032"/>
    <x v="104"/>
    <x v="0"/>
    <x v="0"/>
    <n v="8841.64"/>
    <n v="23"/>
    <x v="3"/>
    <n v="4673.1899999999996"/>
    <n v="4761.1799999999994"/>
    <s v="Returning"/>
    <n v="0.17"/>
    <x v="2"/>
    <x v="1"/>
    <s v="North-Bob"/>
    <n v="87.989999999999782"/>
    <n v="109507.13999999998"/>
    <n v="2023.769999999995"/>
  </r>
  <r>
    <n v="1087"/>
    <x v="117"/>
    <x v="3"/>
    <x v="3"/>
    <n v="2106.06"/>
    <n v="30"/>
    <x v="3"/>
    <n v="698.74"/>
    <n v="882.28"/>
    <s v="Returning"/>
    <n v="0.15"/>
    <x v="2"/>
    <x v="0"/>
    <s v="East-Eve"/>
    <n v="183.53999999999996"/>
    <n v="26468.399999999998"/>
    <n v="5506.1999999999989"/>
  </r>
  <r>
    <n v="1063"/>
    <x v="46"/>
    <x v="0"/>
    <x v="2"/>
    <n v="5917.1"/>
    <n v="25"/>
    <x v="3"/>
    <n v="3997.1"/>
    <n v="4212.6499999999996"/>
    <s v="New"/>
    <n v="0.22"/>
    <x v="0"/>
    <x v="0"/>
    <s v="South-Bob"/>
    <n v="215.54999999999973"/>
    <n v="105316.24999999999"/>
    <n v="5388.7499999999927"/>
  </r>
  <r>
    <n v="1086"/>
    <x v="245"/>
    <x v="1"/>
    <x v="0"/>
    <n v="7041.28"/>
    <n v="28"/>
    <x v="1"/>
    <n v="2564.35"/>
    <n v="2765.79"/>
    <s v="Returning"/>
    <n v="0.17"/>
    <x v="2"/>
    <x v="0"/>
    <s v="North-David"/>
    <n v="201.44000000000005"/>
    <n v="77442.12"/>
    <n v="5640.3200000000015"/>
  </r>
  <r>
    <n v="1051"/>
    <x v="246"/>
    <x v="4"/>
    <x v="0"/>
    <n v="6833.11"/>
    <n v="34"/>
    <x v="0"/>
    <n v="3764.14"/>
    <n v="4100.3999999999996"/>
    <s v="Returning"/>
    <n v="0.05"/>
    <x v="1"/>
    <x v="1"/>
    <s v="North-Alice"/>
    <n v="336.25999999999976"/>
    <n v="139413.59999999998"/>
    <n v="11432.839999999993"/>
  </r>
  <r>
    <n v="1025"/>
    <x v="247"/>
    <x v="1"/>
    <x v="2"/>
    <n v="4140.7"/>
    <n v="45"/>
    <x v="2"/>
    <n v="1588.04"/>
    <n v="1703.6399999999999"/>
    <s v="New"/>
    <n v="0.2"/>
    <x v="1"/>
    <x v="1"/>
    <s v="South-David"/>
    <n v="115.59999999999991"/>
    <n v="76663.799999999988"/>
    <n v="5201.9999999999964"/>
  </r>
  <r>
    <n v="1058"/>
    <x v="248"/>
    <x v="3"/>
    <x v="0"/>
    <n v="252.41"/>
    <n v="48"/>
    <x v="0"/>
    <n v="2596.7199999999998"/>
    <n v="2715.0499999999997"/>
    <s v="Returning"/>
    <n v="0.04"/>
    <x v="0"/>
    <x v="0"/>
    <s v="North-Eve"/>
    <n v="118.32999999999993"/>
    <n v="130322.4"/>
    <n v="5679.8399999999965"/>
  </r>
  <r>
    <n v="1063"/>
    <x v="75"/>
    <x v="1"/>
    <x v="3"/>
    <n v="5870.97"/>
    <n v="47"/>
    <x v="3"/>
    <n v="4291.33"/>
    <n v="4658.6400000000003"/>
    <s v="New"/>
    <n v="0.24"/>
    <x v="2"/>
    <x v="1"/>
    <s v="East-David"/>
    <n v="367.3100000000004"/>
    <n v="218956.08000000002"/>
    <n v="17263.570000000018"/>
  </r>
  <r>
    <n v="1062"/>
    <x v="249"/>
    <x v="1"/>
    <x v="3"/>
    <n v="2605.71"/>
    <n v="25"/>
    <x v="1"/>
    <n v="2361.0500000000002"/>
    <n v="2616.19"/>
    <s v="New"/>
    <n v="0.3"/>
    <x v="1"/>
    <x v="1"/>
    <s v="East-David"/>
    <n v="255.13999999999987"/>
    <n v="65404.75"/>
    <n v="6378.4999999999964"/>
  </r>
  <r>
    <n v="1022"/>
    <x v="147"/>
    <x v="1"/>
    <x v="0"/>
    <n v="4557.5200000000004"/>
    <n v="10"/>
    <x v="0"/>
    <n v="1830.61"/>
    <n v="2044.04"/>
    <s v="New"/>
    <n v="0.11"/>
    <x v="0"/>
    <x v="0"/>
    <s v="North-David"/>
    <n v="213.43000000000006"/>
    <n v="20440.400000000001"/>
    <n v="2134.3000000000006"/>
  </r>
  <r>
    <n v="1058"/>
    <x v="250"/>
    <x v="3"/>
    <x v="3"/>
    <n v="9580.0499999999993"/>
    <n v="14"/>
    <x v="3"/>
    <n v="2703.97"/>
    <n v="2796.8799999999997"/>
    <s v="New"/>
    <n v="0.13"/>
    <x v="1"/>
    <x v="0"/>
    <s v="East-Eve"/>
    <n v="92.909999999999854"/>
    <n v="39156.319999999992"/>
    <n v="1300.739999999998"/>
  </r>
  <r>
    <n v="1058"/>
    <x v="251"/>
    <x v="1"/>
    <x v="1"/>
    <n v="4050.45"/>
    <n v="42"/>
    <x v="2"/>
    <n v="3600.95"/>
    <n v="3702.8399999999997"/>
    <s v="Returning"/>
    <n v="0.01"/>
    <x v="0"/>
    <x v="1"/>
    <s v="West-David"/>
    <n v="101.88999999999987"/>
    <n v="155519.28"/>
    <n v="4279.3799999999947"/>
  </r>
  <r>
    <n v="1086"/>
    <x v="252"/>
    <x v="0"/>
    <x v="0"/>
    <n v="8414.0400000000009"/>
    <n v="46"/>
    <x v="2"/>
    <n v="2245.64"/>
    <n v="2260.81"/>
    <s v="New"/>
    <n v="0"/>
    <x v="0"/>
    <x v="1"/>
    <s v="North-Bob"/>
    <n v="15.170000000000073"/>
    <n v="103997.26"/>
    <n v="697.82000000000335"/>
  </r>
  <r>
    <n v="1049"/>
    <x v="138"/>
    <x v="3"/>
    <x v="2"/>
    <n v="1966.55"/>
    <n v="30"/>
    <x v="2"/>
    <n v="4697.4399999999996"/>
    <n v="4752.24"/>
    <s v="New"/>
    <n v="0.28000000000000003"/>
    <x v="2"/>
    <x v="0"/>
    <s v="South-Eve"/>
    <n v="54.800000000000182"/>
    <n v="142567.19999999998"/>
    <n v="1644.0000000000055"/>
  </r>
  <r>
    <n v="1052"/>
    <x v="9"/>
    <x v="1"/>
    <x v="1"/>
    <n v="6757.36"/>
    <n v="41"/>
    <x v="3"/>
    <n v="1509.98"/>
    <n v="1792.83"/>
    <s v="New"/>
    <n v="0.04"/>
    <x v="0"/>
    <x v="1"/>
    <s v="West-David"/>
    <n v="282.84999999999991"/>
    <n v="73506.03"/>
    <n v="11596.849999999997"/>
  </r>
  <r>
    <n v="1042"/>
    <x v="157"/>
    <x v="3"/>
    <x v="0"/>
    <n v="9772.3700000000008"/>
    <n v="25"/>
    <x v="1"/>
    <n v="2403.54"/>
    <n v="2850.56"/>
    <s v="New"/>
    <n v="0.13"/>
    <x v="1"/>
    <x v="0"/>
    <s v="North-Eve"/>
    <n v="447.02"/>
    <n v="71264"/>
    <n v="11175.5"/>
  </r>
  <r>
    <n v="1070"/>
    <x v="165"/>
    <x v="2"/>
    <x v="2"/>
    <n v="1108.74"/>
    <n v="14"/>
    <x v="0"/>
    <n v="3796.79"/>
    <n v="3947.5"/>
    <s v="Returning"/>
    <n v="0.24"/>
    <x v="1"/>
    <x v="0"/>
    <s v="South-Charlie"/>
    <n v="150.71000000000004"/>
    <n v="55265"/>
    <n v="2109.9400000000005"/>
  </r>
  <r>
    <n v="1015"/>
    <x v="91"/>
    <x v="0"/>
    <x v="3"/>
    <n v="182.37"/>
    <n v="35"/>
    <x v="2"/>
    <n v="3461.15"/>
    <n v="3631.75"/>
    <s v="Returning"/>
    <n v="0.27"/>
    <x v="2"/>
    <x v="0"/>
    <s v="East-Bob"/>
    <n v="170.59999999999991"/>
    <n v="127111.25"/>
    <n v="5970.9999999999964"/>
  </r>
  <r>
    <n v="1054"/>
    <x v="87"/>
    <x v="1"/>
    <x v="2"/>
    <n v="4392.47"/>
    <n v="48"/>
    <x v="3"/>
    <n v="4325.0200000000004"/>
    <n v="4391.67"/>
    <s v="Returning"/>
    <n v="0.16"/>
    <x v="2"/>
    <x v="1"/>
    <s v="South-David"/>
    <n v="66.649999999999636"/>
    <n v="210800.16"/>
    <n v="3199.1999999999825"/>
  </r>
  <r>
    <n v="1060"/>
    <x v="142"/>
    <x v="2"/>
    <x v="1"/>
    <n v="1016.99"/>
    <n v="34"/>
    <x v="3"/>
    <n v="4984.21"/>
    <n v="5184.6400000000003"/>
    <s v="New"/>
    <n v="0.17"/>
    <x v="0"/>
    <x v="0"/>
    <s v="West-Charlie"/>
    <n v="200.43000000000029"/>
    <n v="176277.76000000001"/>
    <n v="6814.6200000000099"/>
  </r>
  <r>
    <n v="1097"/>
    <x v="253"/>
    <x v="2"/>
    <x v="3"/>
    <n v="7509.01"/>
    <n v="10"/>
    <x v="0"/>
    <n v="2162.9499999999998"/>
    <n v="2191.1899999999996"/>
    <s v="Returning"/>
    <n v="0.2"/>
    <x v="2"/>
    <x v="0"/>
    <s v="East-Charlie"/>
    <n v="28.239999999999782"/>
    <n v="21911.899999999994"/>
    <n v="282.39999999999782"/>
  </r>
  <r>
    <n v="1008"/>
    <x v="55"/>
    <x v="3"/>
    <x v="0"/>
    <n v="9154.0300000000007"/>
    <n v="35"/>
    <x v="2"/>
    <n v="600.20000000000005"/>
    <n v="1059.8200000000002"/>
    <s v="Returning"/>
    <n v="0.28999999999999998"/>
    <x v="1"/>
    <x v="1"/>
    <s v="North-Eve"/>
    <n v="459.62000000000012"/>
    <n v="37093.700000000004"/>
    <n v="16086.700000000004"/>
  </r>
  <r>
    <n v="1053"/>
    <x v="254"/>
    <x v="2"/>
    <x v="3"/>
    <n v="4396.8100000000004"/>
    <n v="11"/>
    <x v="3"/>
    <n v="200.56"/>
    <n v="540.38"/>
    <s v="New"/>
    <n v="0.18"/>
    <x v="1"/>
    <x v="0"/>
    <s v="East-Charlie"/>
    <n v="339.82"/>
    <n v="5944.18"/>
    <n v="3738.02"/>
  </r>
  <r>
    <n v="1060"/>
    <x v="105"/>
    <x v="0"/>
    <x v="0"/>
    <n v="2661.25"/>
    <n v="11"/>
    <x v="0"/>
    <n v="3648.04"/>
    <n v="4143.51"/>
    <s v="Returning"/>
    <n v="0.17"/>
    <x v="2"/>
    <x v="1"/>
    <s v="North-Bob"/>
    <n v="495.47000000000025"/>
    <n v="45578.61"/>
    <n v="5450.1700000000028"/>
  </r>
  <r>
    <n v="1005"/>
    <x v="255"/>
    <x v="0"/>
    <x v="0"/>
    <n v="4400.59"/>
    <n v="21"/>
    <x v="1"/>
    <n v="4376.37"/>
    <n v="4818.95"/>
    <s v="New"/>
    <n v="0"/>
    <x v="2"/>
    <x v="1"/>
    <s v="North-Bob"/>
    <n v="442.57999999999993"/>
    <n v="101197.95"/>
    <n v="9294.1799999999985"/>
  </r>
  <r>
    <n v="1068"/>
    <x v="256"/>
    <x v="4"/>
    <x v="2"/>
    <n v="7262.13"/>
    <n v="21"/>
    <x v="1"/>
    <n v="1142.53"/>
    <n v="1384.3"/>
    <s v="Returning"/>
    <n v="0.02"/>
    <x v="2"/>
    <x v="1"/>
    <s v="South-Alice"/>
    <n v="241.76999999999998"/>
    <n v="29070.3"/>
    <n v="5077.17"/>
  </r>
  <r>
    <n v="1006"/>
    <x v="249"/>
    <x v="0"/>
    <x v="2"/>
    <n v="189.64"/>
    <n v="22"/>
    <x v="1"/>
    <n v="834.32"/>
    <n v="1098.97"/>
    <s v="Returning"/>
    <n v="0.17"/>
    <x v="0"/>
    <x v="0"/>
    <s v="South-Bob"/>
    <n v="264.64999999999998"/>
    <n v="24177.34"/>
    <n v="5822.2999999999993"/>
  </r>
  <r>
    <n v="1096"/>
    <x v="237"/>
    <x v="2"/>
    <x v="2"/>
    <n v="5935.59"/>
    <n v="45"/>
    <x v="2"/>
    <n v="357.92"/>
    <n v="461.3"/>
    <s v="Returning"/>
    <n v="0.28000000000000003"/>
    <x v="0"/>
    <x v="0"/>
    <s v="South-Charlie"/>
    <n v="103.38"/>
    <n v="20758.5"/>
    <n v="4652.0999999999995"/>
  </r>
  <r>
    <n v="1094"/>
    <x v="164"/>
    <x v="0"/>
    <x v="1"/>
    <n v="6171.59"/>
    <n v="7"/>
    <x v="0"/>
    <n v="4122.38"/>
    <n v="4358.78"/>
    <s v="Returning"/>
    <n v="0.26"/>
    <x v="1"/>
    <x v="1"/>
    <s v="West-Bob"/>
    <n v="236.39999999999964"/>
    <n v="30511.46"/>
    <n v="1654.7999999999975"/>
  </r>
  <r>
    <n v="1047"/>
    <x v="1"/>
    <x v="3"/>
    <x v="1"/>
    <n v="6413.11"/>
    <n v="17"/>
    <x v="0"/>
    <n v="1591.34"/>
    <n v="2043.82"/>
    <s v="New"/>
    <n v="0.28999999999999998"/>
    <x v="0"/>
    <x v="1"/>
    <s v="West-Eve"/>
    <n v="452.48"/>
    <n v="34744.94"/>
    <n v="7692.16"/>
  </r>
  <r>
    <n v="1099"/>
    <x v="26"/>
    <x v="4"/>
    <x v="2"/>
    <n v="2496.02"/>
    <n v="2"/>
    <x v="3"/>
    <n v="2038.4"/>
    <n v="2073.3200000000002"/>
    <s v="New"/>
    <n v="0.16"/>
    <x v="0"/>
    <x v="1"/>
    <s v="South-Alice"/>
    <n v="34.920000000000073"/>
    <n v="4146.6400000000003"/>
    <n v="69.840000000000146"/>
  </r>
  <r>
    <n v="1055"/>
    <x v="233"/>
    <x v="2"/>
    <x v="1"/>
    <n v="7169.12"/>
    <n v="12"/>
    <x v="3"/>
    <n v="2538.61"/>
    <n v="2971.75"/>
    <s v="Returning"/>
    <n v="0.24"/>
    <x v="0"/>
    <x v="0"/>
    <s v="West-Charlie"/>
    <n v="433.13999999999987"/>
    <n v="35661"/>
    <n v="5197.6799999999985"/>
  </r>
  <r>
    <n v="1040"/>
    <x v="83"/>
    <x v="4"/>
    <x v="3"/>
    <n v="1004.78"/>
    <n v="42"/>
    <x v="3"/>
    <n v="4205.29"/>
    <n v="4382.3500000000004"/>
    <s v="New"/>
    <n v="0.25"/>
    <x v="0"/>
    <x v="1"/>
    <s v="East-Alice"/>
    <n v="177.0600000000004"/>
    <n v="184058.7"/>
    <n v="7436.5200000000168"/>
  </r>
  <r>
    <n v="1052"/>
    <x v="257"/>
    <x v="2"/>
    <x v="3"/>
    <n v="2072.7800000000002"/>
    <n v="18"/>
    <x v="0"/>
    <n v="3271.62"/>
    <n v="3722.38"/>
    <s v="Returning"/>
    <n v="0.19"/>
    <x v="1"/>
    <x v="1"/>
    <s v="East-Charlie"/>
    <n v="450.76000000000022"/>
    <n v="67002.84"/>
    <n v="8113.6800000000039"/>
  </r>
  <r>
    <n v="1016"/>
    <x v="15"/>
    <x v="3"/>
    <x v="1"/>
    <n v="8786.9500000000007"/>
    <n v="11"/>
    <x v="3"/>
    <n v="3094.57"/>
    <n v="3565.6000000000004"/>
    <s v="Returning"/>
    <n v="0.1"/>
    <x v="2"/>
    <x v="1"/>
    <s v="West-Eve"/>
    <n v="471.0300000000002"/>
    <n v="39221.600000000006"/>
    <n v="5181.3300000000017"/>
  </r>
  <r>
    <n v="1013"/>
    <x v="258"/>
    <x v="4"/>
    <x v="1"/>
    <n v="7413.36"/>
    <n v="16"/>
    <x v="0"/>
    <n v="919.58"/>
    <n v="1258.3000000000002"/>
    <s v="Returning"/>
    <n v="0.14000000000000001"/>
    <x v="1"/>
    <x v="0"/>
    <s v="West-Alice"/>
    <n v="338.72000000000014"/>
    <n v="20132.800000000003"/>
    <n v="5419.5200000000023"/>
  </r>
  <r>
    <n v="1030"/>
    <x v="33"/>
    <x v="1"/>
    <x v="3"/>
    <n v="236.08"/>
    <n v="49"/>
    <x v="0"/>
    <n v="2590.29"/>
    <n v="2925.86"/>
    <s v="Returning"/>
    <n v="0.26"/>
    <x v="0"/>
    <x v="1"/>
    <s v="East-David"/>
    <n v="335.57000000000016"/>
    <n v="143367.14000000001"/>
    <n v="16442.930000000008"/>
  </r>
  <r>
    <n v="1019"/>
    <x v="207"/>
    <x v="2"/>
    <x v="0"/>
    <n v="2558.92"/>
    <n v="18"/>
    <x v="1"/>
    <n v="3591.14"/>
    <n v="3822.99"/>
    <s v="Returning"/>
    <n v="0.09"/>
    <x v="2"/>
    <x v="0"/>
    <s v="North-Charlie"/>
    <n v="231.84999999999991"/>
    <n v="68813.819999999992"/>
    <n v="4173.2999999999984"/>
  </r>
  <r>
    <n v="1017"/>
    <x v="141"/>
    <x v="1"/>
    <x v="3"/>
    <n v="2222.62"/>
    <n v="35"/>
    <x v="3"/>
    <n v="4867.6400000000003"/>
    <n v="5287.05"/>
    <s v="Returning"/>
    <n v="0.28000000000000003"/>
    <x v="2"/>
    <x v="0"/>
    <s v="East-David"/>
    <n v="419.40999999999985"/>
    <n v="185046.75"/>
    <n v="14679.349999999995"/>
  </r>
  <r>
    <n v="1063"/>
    <x v="256"/>
    <x v="4"/>
    <x v="3"/>
    <n v="2780.98"/>
    <n v="26"/>
    <x v="1"/>
    <n v="1046.96"/>
    <n v="1528.15"/>
    <s v="New"/>
    <n v="7.0000000000000007E-2"/>
    <x v="2"/>
    <x v="1"/>
    <s v="East-Alice"/>
    <n v="481.19000000000005"/>
    <n v="39731.9"/>
    <n v="12510.940000000002"/>
  </r>
  <r>
    <n v="1019"/>
    <x v="169"/>
    <x v="1"/>
    <x v="1"/>
    <n v="2550.84"/>
    <n v="16"/>
    <x v="2"/>
    <n v="97.24"/>
    <n v="487.03000000000003"/>
    <s v="New"/>
    <n v="0.22"/>
    <x v="1"/>
    <x v="1"/>
    <s v="West-David"/>
    <n v="389.79"/>
    <n v="7792.4800000000005"/>
    <n v="6236.64"/>
  </r>
  <r>
    <n v="1092"/>
    <x v="181"/>
    <x v="1"/>
    <x v="3"/>
    <n v="719.01"/>
    <n v="6"/>
    <x v="2"/>
    <n v="422.74"/>
    <n v="737.49"/>
    <s v="Returning"/>
    <n v="0.19"/>
    <x v="2"/>
    <x v="1"/>
    <s v="East-David"/>
    <n v="314.75"/>
    <n v="4424.9400000000005"/>
    <n v="1888.5"/>
  </r>
  <r>
    <n v="1058"/>
    <x v="13"/>
    <x v="4"/>
    <x v="1"/>
    <n v="4643.51"/>
    <n v="44"/>
    <x v="2"/>
    <n v="1910.47"/>
    <n v="2217.8000000000002"/>
    <s v="New"/>
    <n v="0.22"/>
    <x v="1"/>
    <x v="0"/>
    <s v="West-Alice"/>
    <n v="307.33000000000015"/>
    <n v="97583.200000000012"/>
    <n v="13522.520000000008"/>
  </r>
  <r>
    <n v="1055"/>
    <x v="232"/>
    <x v="3"/>
    <x v="1"/>
    <n v="7354.06"/>
    <n v="43"/>
    <x v="0"/>
    <n v="4111.7"/>
    <n v="4537.9399999999996"/>
    <s v="Returning"/>
    <n v="0.13"/>
    <x v="1"/>
    <x v="0"/>
    <s v="West-Eve"/>
    <n v="426.23999999999978"/>
    <n v="195131.41999999998"/>
    <n v="18328.319999999992"/>
  </r>
  <r>
    <n v="1090"/>
    <x v="168"/>
    <x v="1"/>
    <x v="2"/>
    <n v="6106.64"/>
    <n v="47"/>
    <x v="0"/>
    <n v="85.35"/>
    <n v="360.53999999999996"/>
    <s v="New"/>
    <n v="0.28000000000000003"/>
    <x v="0"/>
    <x v="0"/>
    <s v="South-David"/>
    <n v="275.18999999999994"/>
    <n v="16945.379999999997"/>
    <n v="12933.929999999997"/>
  </r>
  <r>
    <n v="1090"/>
    <x v="259"/>
    <x v="1"/>
    <x v="3"/>
    <n v="6761.43"/>
    <n v="47"/>
    <x v="0"/>
    <n v="2310.8200000000002"/>
    <n v="2714.71"/>
    <s v="New"/>
    <n v="0.19"/>
    <x v="0"/>
    <x v="1"/>
    <s v="East-David"/>
    <n v="403.88999999999987"/>
    <n v="127591.37"/>
    <n v="18982.829999999994"/>
  </r>
  <r>
    <n v="1062"/>
    <x v="232"/>
    <x v="3"/>
    <x v="0"/>
    <n v="903.38"/>
    <n v="48"/>
    <x v="3"/>
    <n v="1679.69"/>
    <n v="1939.04"/>
    <s v="New"/>
    <n v="0.09"/>
    <x v="2"/>
    <x v="0"/>
    <s v="North-Eve"/>
    <n v="259.34999999999991"/>
    <n v="93073.919999999998"/>
    <n v="12448.799999999996"/>
  </r>
  <r>
    <n v="1023"/>
    <x v="87"/>
    <x v="1"/>
    <x v="2"/>
    <n v="9519.76"/>
    <n v="42"/>
    <x v="1"/>
    <n v="309.77999999999997"/>
    <n v="350.38"/>
    <s v="Returning"/>
    <n v="0.19"/>
    <x v="2"/>
    <x v="1"/>
    <s v="South-David"/>
    <n v="40.600000000000023"/>
    <n v="14715.96"/>
    <n v="1705.200000000001"/>
  </r>
  <r>
    <n v="1009"/>
    <x v="172"/>
    <x v="1"/>
    <x v="1"/>
    <n v="8401.07"/>
    <n v="12"/>
    <x v="0"/>
    <n v="2278.67"/>
    <n v="2476.8000000000002"/>
    <s v="New"/>
    <n v="0.09"/>
    <x v="0"/>
    <x v="1"/>
    <s v="West-David"/>
    <n v="198.13000000000011"/>
    <n v="29721.600000000002"/>
    <n v="2377.5600000000013"/>
  </r>
  <r>
    <n v="1012"/>
    <x v="260"/>
    <x v="1"/>
    <x v="1"/>
    <n v="8070.39"/>
    <n v="13"/>
    <x v="1"/>
    <n v="1311.01"/>
    <n v="1538.79"/>
    <s v="Returning"/>
    <n v="0.09"/>
    <x v="1"/>
    <x v="1"/>
    <s v="West-David"/>
    <n v="227.77999999999997"/>
    <n v="20004.27"/>
    <n v="2961.1399999999994"/>
  </r>
  <r>
    <n v="1001"/>
    <x v="261"/>
    <x v="0"/>
    <x v="0"/>
    <n v="8247.5400000000009"/>
    <n v="4"/>
    <x v="1"/>
    <n v="1791.83"/>
    <n v="1871.22"/>
    <s v="Returning"/>
    <n v="0.12"/>
    <x v="1"/>
    <x v="0"/>
    <s v="North-Bob"/>
    <n v="79.3900000000001"/>
    <n v="7484.88"/>
    <n v="317.5600000000004"/>
  </r>
  <r>
    <n v="1058"/>
    <x v="262"/>
    <x v="3"/>
    <x v="1"/>
    <n v="9333.83"/>
    <n v="39"/>
    <x v="1"/>
    <n v="3542.8"/>
    <n v="3603.02"/>
    <s v="Returning"/>
    <n v="0.26"/>
    <x v="0"/>
    <x v="0"/>
    <s v="West-Eve"/>
    <n v="60.2199999999998"/>
    <n v="140517.78"/>
    <n v="2348.5799999999922"/>
  </r>
  <r>
    <n v="1001"/>
    <x v="106"/>
    <x v="1"/>
    <x v="3"/>
    <n v="5488.11"/>
    <n v="2"/>
    <x v="3"/>
    <n v="2631.68"/>
    <n v="2904.06"/>
    <s v="New"/>
    <n v="0.15"/>
    <x v="1"/>
    <x v="0"/>
    <s v="East-David"/>
    <n v="272.38000000000011"/>
    <n v="5808.12"/>
    <n v="544.76000000000022"/>
  </r>
  <r>
    <n v="1034"/>
    <x v="5"/>
    <x v="3"/>
    <x v="2"/>
    <n v="2082.79"/>
    <n v="26"/>
    <x v="3"/>
    <n v="667"/>
    <n v="718.72"/>
    <s v="New"/>
    <n v="0.2"/>
    <x v="0"/>
    <x v="1"/>
    <s v="South-Eve"/>
    <n v="51.720000000000027"/>
    <n v="18686.72"/>
    <n v="1344.7200000000007"/>
  </r>
  <r>
    <n v="1096"/>
    <x v="170"/>
    <x v="2"/>
    <x v="1"/>
    <n v="6206.16"/>
    <n v="27"/>
    <x v="2"/>
    <n v="4809"/>
    <n v="4967.4399999999996"/>
    <s v="New"/>
    <n v="0.12"/>
    <x v="0"/>
    <x v="0"/>
    <s v="West-Charlie"/>
    <n v="158.4399999999996"/>
    <n v="134120.87999999998"/>
    <n v="4277.8799999999892"/>
  </r>
  <r>
    <n v="1048"/>
    <x v="118"/>
    <x v="2"/>
    <x v="1"/>
    <n v="7454.53"/>
    <n v="27"/>
    <x v="2"/>
    <n v="3197.76"/>
    <n v="3572.61"/>
    <s v="Returning"/>
    <n v="0.08"/>
    <x v="2"/>
    <x v="0"/>
    <s v="West-Charlie"/>
    <n v="374.84999999999991"/>
    <n v="96460.47"/>
    <n v="10120.949999999997"/>
  </r>
  <r>
    <n v="1089"/>
    <x v="96"/>
    <x v="1"/>
    <x v="0"/>
    <n v="7405.38"/>
    <n v="15"/>
    <x v="1"/>
    <n v="3841.05"/>
    <n v="4323.62"/>
    <s v="Returning"/>
    <n v="0.28999999999999998"/>
    <x v="2"/>
    <x v="1"/>
    <s v="North-David"/>
    <n v="482.56999999999971"/>
    <n v="64854.299999999996"/>
    <n v="7238.5499999999956"/>
  </r>
  <r>
    <n v="1001"/>
    <x v="198"/>
    <x v="3"/>
    <x v="3"/>
    <n v="5262.35"/>
    <n v="8"/>
    <x v="2"/>
    <n v="442.11"/>
    <n v="803.87"/>
    <s v="New"/>
    <n v="0.18"/>
    <x v="0"/>
    <x v="1"/>
    <s v="East-Eve"/>
    <n v="361.76"/>
    <n v="6430.96"/>
    <n v="2894.08"/>
  </r>
  <r>
    <n v="1016"/>
    <x v="14"/>
    <x v="3"/>
    <x v="1"/>
    <n v="777.74"/>
    <n v="7"/>
    <x v="1"/>
    <n v="282.94"/>
    <n v="779.32999999999993"/>
    <s v="Returning"/>
    <n v="0.28000000000000003"/>
    <x v="2"/>
    <x v="0"/>
    <s v="West-Eve"/>
    <n v="496.38999999999993"/>
    <n v="5455.3099999999995"/>
    <n v="3474.7299999999996"/>
  </r>
  <r>
    <n v="1061"/>
    <x v="263"/>
    <x v="3"/>
    <x v="0"/>
    <n v="3774.02"/>
    <n v="47"/>
    <x v="3"/>
    <n v="146.27000000000001"/>
    <n v="498.46000000000004"/>
    <s v="New"/>
    <n v="0.06"/>
    <x v="0"/>
    <x v="1"/>
    <s v="North-Eve"/>
    <n v="352.19000000000005"/>
    <n v="23427.620000000003"/>
    <n v="16552.930000000004"/>
  </r>
  <r>
    <n v="1064"/>
    <x v="72"/>
    <x v="0"/>
    <x v="1"/>
    <n v="9215.59"/>
    <n v="46"/>
    <x v="3"/>
    <n v="984.53"/>
    <n v="1138.49"/>
    <s v="New"/>
    <n v="0.04"/>
    <x v="1"/>
    <x v="0"/>
    <s v="West-Bob"/>
    <n v="153.96000000000004"/>
    <n v="52370.54"/>
    <n v="7082.1600000000017"/>
  </r>
  <r>
    <n v="1063"/>
    <x v="264"/>
    <x v="2"/>
    <x v="0"/>
    <n v="5886.04"/>
    <n v="40"/>
    <x v="3"/>
    <n v="2101.3200000000002"/>
    <n v="2440.63"/>
    <s v="New"/>
    <n v="0.26"/>
    <x v="1"/>
    <x v="1"/>
    <s v="North-Charlie"/>
    <n v="339.30999999999995"/>
    <n v="97625.200000000012"/>
    <n v="13572.399999999998"/>
  </r>
  <r>
    <n v="1069"/>
    <x v="265"/>
    <x v="3"/>
    <x v="0"/>
    <n v="5429.49"/>
    <n v="12"/>
    <x v="0"/>
    <n v="4682.34"/>
    <n v="5036.4000000000015"/>
    <s v="New"/>
    <n v="0.2"/>
    <x v="1"/>
    <x v="1"/>
    <s v="North-Eve"/>
    <n v="354.06000000000131"/>
    <n v="60436.800000000017"/>
    <n v="4248.7200000000157"/>
  </r>
  <r>
    <n v="1022"/>
    <x v="266"/>
    <x v="3"/>
    <x v="3"/>
    <n v="2761.65"/>
    <n v="13"/>
    <x v="1"/>
    <n v="2312.4499999999998"/>
    <n v="2504.6"/>
    <s v="Returning"/>
    <n v="0.06"/>
    <x v="1"/>
    <x v="0"/>
    <s v="East-Eve"/>
    <n v="192.15000000000009"/>
    <n v="32559.8"/>
    <n v="2497.9500000000012"/>
  </r>
  <r>
    <n v="1093"/>
    <x v="51"/>
    <x v="0"/>
    <x v="1"/>
    <n v="3747.64"/>
    <n v="43"/>
    <x v="3"/>
    <n v="1486.76"/>
    <n v="1505.44"/>
    <s v="New"/>
    <n v="0.08"/>
    <x v="0"/>
    <x v="1"/>
    <s v="West-Bob"/>
    <n v="18.680000000000064"/>
    <n v="64733.920000000006"/>
    <n v="803.24000000000274"/>
  </r>
  <r>
    <n v="1067"/>
    <x v="6"/>
    <x v="0"/>
    <x v="3"/>
    <n v="8963.93"/>
    <n v="17"/>
    <x v="1"/>
    <n v="2831.58"/>
    <n v="3186.15"/>
    <s v="New"/>
    <n v="0.24"/>
    <x v="1"/>
    <x v="1"/>
    <s v="East-Bob"/>
    <n v="354.57000000000016"/>
    <n v="54164.55"/>
    <n v="6027.6900000000023"/>
  </r>
  <r>
    <n v="1076"/>
    <x v="267"/>
    <x v="3"/>
    <x v="0"/>
    <n v="6697.98"/>
    <n v="17"/>
    <x v="2"/>
    <n v="604.08000000000004"/>
    <n v="624.71"/>
    <s v="New"/>
    <n v="0.14000000000000001"/>
    <x v="1"/>
    <x v="1"/>
    <s v="North-Eve"/>
    <n v="20.629999999999995"/>
    <n v="10620.07"/>
    <n v="350.70999999999992"/>
  </r>
  <r>
    <n v="1026"/>
    <x v="82"/>
    <x v="4"/>
    <x v="2"/>
    <n v="7895.13"/>
    <n v="36"/>
    <x v="2"/>
    <n v="3067.05"/>
    <n v="3386.33"/>
    <s v="New"/>
    <n v="0.2"/>
    <x v="1"/>
    <x v="0"/>
    <s v="South-Alice"/>
    <n v="319.27999999999975"/>
    <n v="121907.88"/>
    <n v="11494.079999999991"/>
  </r>
  <r>
    <n v="1016"/>
    <x v="172"/>
    <x v="3"/>
    <x v="1"/>
    <n v="4598.0200000000004"/>
    <n v="21"/>
    <x v="3"/>
    <n v="2863.74"/>
    <n v="2953.91"/>
    <s v="New"/>
    <n v="0.1"/>
    <x v="1"/>
    <x v="1"/>
    <s v="West-Eve"/>
    <n v="90.170000000000073"/>
    <n v="62032.11"/>
    <n v="1893.5700000000015"/>
  </r>
  <r>
    <n v="1051"/>
    <x v="128"/>
    <x v="3"/>
    <x v="2"/>
    <n v="6339.45"/>
    <n v="8"/>
    <x v="1"/>
    <n v="3970.37"/>
    <n v="4257.5199999999995"/>
    <s v="New"/>
    <n v="0.11"/>
    <x v="0"/>
    <x v="1"/>
    <s v="South-Eve"/>
    <n v="287.14999999999964"/>
    <n v="34060.159999999996"/>
    <n v="2297.1999999999971"/>
  </r>
  <r>
    <n v="1086"/>
    <x v="268"/>
    <x v="0"/>
    <x v="1"/>
    <n v="2559"/>
    <n v="5"/>
    <x v="3"/>
    <n v="4934.1000000000004"/>
    <n v="5191.0200000000004"/>
    <s v="New"/>
    <n v="0.3"/>
    <x v="1"/>
    <x v="0"/>
    <s v="West-Bob"/>
    <n v="256.92000000000007"/>
    <n v="25955.100000000002"/>
    <n v="1284.6000000000004"/>
  </r>
  <r>
    <n v="1057"/>
    <x v="27"/>
    <x v="0"/>
    <x v="3"/>
    <n v="7084.06"/>
    <n v="26"/>
    <x v="2"/>
    <n v="1291.82"/>
    <n v="1308.4399999999998"/>
    <s v="Returning"/>
    <n v="7.0000000000000007E-2"/>
    <x v="2"/>
    <x v="0"/>
    <s v="East-Bob"/>
    <n v="16.619999999999891"/>
    <n v="34019.439999999995"/>
    <n v="432.11999999999716"/>
  </r>
  <r>
    <n v="1029"/>
    <x v="131"/>
    <x v="3"/>
    <x v="3"/>
    <n v="4333.25"/>
    <n v="16"/>
    <x v="3"/>
    <n v="2572.8000000000002"/>
    <n v="2760.6000000000004"/>
    <s v="Returning"/>
    <n v="0.15"/>
    <x v="2"/>
    <x v="1"/>
    <s v="East-Eve"/>
    <n v="187.80000000000018"/>
    <n v="44169.600000000006"/>
    <n v="3004.8000000000029"/>
  </r>
  <r>
    <n v="1078"/>
    <x v="266"/>
    <x v="3"/>
    <x v="3"/>
    <n v="4481.2"/>
    <n v="36"/>
    <x v="1"/>
    <n v="4548.88"/>
    <n v="4853.41"/>
    <s v="Returning"/>
    <n v="0.25"/>
    <x v="2"/>
    <x v="1"/>
    <s v="East-Eve"/>
    <n v="304.52999999999975"/>
    <n v="174722.76"/>
    <n v="10963.079999999991"/>
  </r>
  <r>
    <n v="1092"/>
    <x v="24"/>
    <x v="3"/>
    <x v="3"/>
    <n v="6528.29"/>
    <n v="28"/>
    <x v="2"/>
    <n v="3936.69"/>
    <n v="4362.51"/>
    <s v="Returning"/>
    <n v="7.0000000000000007E-2"/>
    <x v="2"/>
    <x v="1"/>
    <s v="East-Eve"/>
    <n v="425.82000000000016"/>
    <n v="122150.28"/>
    <n v="11922.960000000005"/>
  </r>
  <r>
    <n v="1069"/>
    <x v="269"/>
    <x v="0"/>
    <x v="3"/>
    <n v="9369.18"/>
    <n v="29"/>
    <x v="0"/>
    <n v="2462.66"/>
    <n v="2908.0899999999997"/>
    <s v="New"/>
    <n v="0.12"/>
    <x v="2"/>
    <x v="0"/>
    <s v="East-Bob"/>
    <n v="445.42999999999984"/>
    <n v="84334.609999999986"/>
    <n v="12917.469999999996"/>
  </r>
  <r>
    <n v="1047"/>
    <x v="133"/>
    <x v="3"/>
    <x v="2"/>
    <n v="733.66"/>
    <n v="47"/>
    <x v="2"/>
    <n v="4729.59"/>
    <n v="4976.68"/>
    <s v="Returning"/>
    <n v="0.18"/>
    <x v="2"/>
    <x v="1"/>
    <s v="South-Eve"/>
    <n v="247.09000000000015"/>
    <n v="233903.96000000002"/>
    <n v="11613.230000000007"/>
  </r>
  <r>
    <n v="1094"/>
    <x v="100"/>
    <x v="3"/>
    <x v="3"/>
    <n v="8264.9599999999991"/>
    <n v="12"/>
    <x v="0"/>
    <n v="333.32"/>
    <n v="700.25"/>
    <s v="Returning"/>
    <n v="0.14000000000000001"/>
    <x v="0"/>
    <x v="0"/>
    <s v="East-Eve"/>
    <n v="366.93"/>
    <n v="8403"/>
    <n v="4403.16"/>
  </r>
  <r>
    <n v="1062"/>
    <x v="2"/>
    <x v="1"/>
    <x v="0"/>
    <n v="2994.59"/>
    <n v="37"/>
    <x v="3"/>
    <n v="4658.4399999999996"/>
    <n v="4823.5"/>
    <s v="Returning"/>
    <n v="0.14000000000000001"/>
    <x v="2"/>
    <x v="0"/>
    <s v="North-David"/>
    <n v="165.0600000000004"/>
    <n v="178469.5"/>
    <n v="6107.2200000000148"/>
  </r>
  <r>
    <n v="1069"/>
    <x v="165"/>
    <x v="4"/>
    <x v="0"/>
    <n v="4494.8"/>
    <n v="30"/>
    <x v="3"/>
    <n v="300.01"/>
    <n v="477.67999999999995"/>
    <s v="New"/>
    <n v="0.11"/>
    <x v="1"/>
    <x v="1"/>
    <s v="North-Alice"/>
    <n v="177.66999999999996"/>
    <n v="14330.399999999998"/>
    <n v="5330.0999999999985"/>
  </r>
  <r>
    <n v="1076"/>
    <x v="227"/>
    <x v="2"/>
    <x v="2"/>
    <n v="316.94"/>
    <n v="23"/>
    <x v="1"/>
    <n v="2759.16"/>
    <n v="2864.45"/>
    <s v="Returning"/>
    <n v="0.18"/>
    <x v="2"/>
    <x v="1"/>
    <s v="South-Charlie"/>
    <n v="105.28999999999996"/>
    <n v="65882.349999999991"/>
    <n v="2421.6699999999992"/>
  </r>
  <r>
    <n v="1016"/>
    <x v="186"/>
    <x v="4"/>
    <x v="1"/>
    <n v="3080.36"/>
    <n v="16"/>
    <x v="0"/>
    <n v="4457.68"/>
    <n v="4743.0300000000007"/>
    <s v="Returning"/>
    <n v="0.19"/>
    <x v="0"/>
    <x v="0"/>
    <s v="West-Alice"/>
    <n v="285.35000000000036"/>
    <n v="75888.48000000001"/>
    <n v="4565.6000000000058"/>
  </r>
  <r>
    <n v="1090"/>
    <x v="18"/>
    <x v="1"/>
    <x v="0"/>
    <n v="5076.05"/>
    <n v="14"/>
    <x v="3"/>
    <n v="1350.47"/>
    <n v="1514.6100000000001"/>
    <s v="New"/>
    <n v="0.2"/>
    <x v="2"/>
    <x v="1"/>
    <s v="North-David"/>
    <n v="164.1400000000001"/>
    <n v="21204.54"/>
    <n v="2297.9600000000014"/>
  </r>
  <r>
    <n v="1090"/>
    <x v="144"/>
    <x v="2"/>
    <x v="1"/>
    <n v="656.14"/>
    <n v="10"/>
    <x v="0"/>
    <n v="2387.63"/>
    <n v="2438.9700000000003"/>
    <s v="Returning"/>
    <n v="0.02"/>
    <x v="1"/>
    <x v="1"/>
    <s v="West-Charlie"/>
    <n v="51.340000000000146"/>
    <n v="24389.700000000004"/>
    <n v="513.40000000000146"/>
  </r>
  <r>
    <n v="1048"/>
    <x v="170"/>
    <x v="3"/>
    <x v="2"/>
    <n v="4961.8500000000004"/>
    <n v="7"/>
    <x v="3"/>
    <n v="1655.43"/>
    <n v="2001.08"/>
    <s v="New"/>
    <n v="0.19"/>
    <x v="1"/>
    <x v="0"/>
    <s v="South-Eve"/>
    <n v="345.64999999999986"/>
    <n v="14007.56"/>
    <n v="2419.5499999999993"/>
  </r>
  <r>
    <n v="1085"/>
    <x v="103"/>
    <x v="1"/>
    <x v="1"/>
    <n v="9278.4"/>
    <n v="45"/>
    <x v="2"/>
    <n v="4763.1099999999997"/>
    <n v="5119.91"/>
    <s v="Returning"/>
    <n v="0.28999999999999998"/>
    <x v="0"/>
    <x v="1"/>
    <s v="West-David"/>
    <n v="356.80000000000018"/>
    <n v="230395.94999999998"/>
    <n v="16056.000000000007"/>
  </r>
  <r>
    <n v="1039"/>
    <x v="244"/>
    <x v="3"/>
    <x v="1"/>
    <n v="1143.3900000000001"/>
    <n v="37"/>
    <x v="3"/>
    <n v="4127.05"/>
    <n v="4313.45"/>
    <s v="New"/>
    <n v="0.16"/>
    <x v="0"/>
    <x v="0"/>
    <s v="West-Eve"/>
    <n v="186.39999999999964"/>
    <n v="159597.65"/>
    <n v="6896.7999999999865"/>
  </r>
  <r>
    <n v="1100"/>
    <x v="114"/>
    <x v="0"/>
    <x v="1"/>
    <n v="7667.96"/>
    <n v="29"/>
    <x v="1"/>
    <n v="3559.56"/>
    <n v="3607.15"/>
    <s v="Returning"/>
    <n v="0.21"/>
    <x v="0"/>
    <x v="1"/>
    <s v="West-Bob"/>
    <n v="47.590000000000146"/>
    <n v="104607.35"/>
    <n v="1380.1100000000042"/>
  </r>
  <r>
    <n v="1033"/>
    <x v="228"/>
    <x v="1"/>
    <x v="1"/>
    <n v="4155.74"/>
    <n v="3"/>
    <x v="2"/>
    <n v="2958.75"/>
    <n v="3177.64"/>
    <s v="Returning"/>
    <n v="0.17"/>
    <x v="0"/>
    <x v="0"/>
    <s v="West-David"/>
    <n v="218.88999999999987"/>
    <n v="9532.92"/>
    <n v="656.66999999999962"/>
  </r>
  <r>
    <n v="1094"/>
    <x v="13"/>
    <x v="0"/>
    <x v="2"/>
    <n v="6586.22"/>
    <n v="15"/>
    <x v="1"/>
    <n v="4111.93"/>
    <n v="4338.67"/>
    <s v="Returning"/>
    <n v="0.26"/>
    <x v="2"/>
    <x v="0"/>
    <s v="South-Bob"/>
    <n v="226.73999999999978"/>
    <n v="65080.05"/>
    <n v="3401.0999999999967"/>
  </r>
  <r>
    <n v="1023"/>
    <x v="45"/>
    <x v="1"/>
    <x v="0"/>
    <n v="2676.34"/>
    <n v="36"/>
    <x v="2"/>
    <n v="1991.72"/>
    <n v="2329.37"/>
    <s v="New"/>
    <n v="0.28000000000000003"/>
    <x v="2"/>
    <x v="1"/>
    <s v="North-David"/>
    <n v="337.64999999999986"/>
    <n v="83857.319999999992"/>
    <n v="12155.399999999994"/>
  </r>
  <r>
    <n v="1010"/>
    <x v="57"/>
    <x v="1"/>
    <x v="3"/>
    <n v="1678.97"/>
    <n v="47"/>
    <x v="0"/>
    <n v="2265.38"/>
    <n v="2429.9300000000003"/>
    <s v="Returning"/>
    <n v="0.06"/>
    <x v="1"/>
    <x v="0"/>
    <s v="East-David"/>
    <n v="164.55000000000018"/>
    <n v="114206.71000000002"/>
    <n v="7733.8500000000085"/>
  </r>
  <r>
    <n v="1069"/>
    <x v="108"/>
    <x v="0"/>
    <x v="1"/>
    <n v="1688.58"/>
    <n v="46"/>
    <x v="1"/>
    <n v="3663.51"/>
    <n v="4007.9800000000005"/>
    <s v="New"/>
    <n v="0.13"/>
    <x v="0"/>
    <x v="0"/>
    <s v="West-Bob"/>
    <n v="344.47000000000025"/>
    <n v="184367.08000000002"/>
    <n v="15845.620000000012"/>
  </r>
  <r>
    <n v="1100"/>
    <x v="199"/>
    <x v="2"/>
    <x v="0"/>
    <n v="797.87"/>
    <n v="19"/>
    <x v="3"/>
    <n v="1820.89"/>
    <n v="2257.92"/>
    <s v="New"/>
    <n v="0.12"/>
    <x v="0"/>
    <x v="1"/>
    <s v="North-Charlie"/>
    <n v="437.03"/>
    <n v="42900.480000000003"/>
    <n v="8303.57"/>
  </r>
  <r>
    <n v="1034"/>
    <x v="270"/>
    <x v="4"/>
    <x v="0"/>
    <n v="1937.9"/>
    <n v="13"/>
    <x v="0"/>
    <n v="366.31"/>
    <n v="492.68"/>
    <s v="New"/>
    <n v="0.12"/>
    <x v="2"/>
    <x v="1"/>
    <s v="North-Alice"/>
    <n v="126.37"/>
    <n v="6404.84"/>
    <n v="1642.81"/>
  </r>
  <r>
    <n v="1052"/>
    <x v="271"/>
    <x v="3"/>
    <x v="2"/>
    <n v="6675.77"/>
    <n v="42"/>
    <x v="3"/>
    <n v="417.96"/>
    <n v="907.63"/>
    <s v="New"/>
    <n v="0.04"/>
    <x v="0"/>
    <x v="1"/>
    <s v="South-Eve"/>
    <n v="489.67"/>
    <n v="38120.46"/>
    <n v="20566.14"/>
  </r>
  <r>
    <n v="1095"/>
    <x v="9"/>
    <x v="1"/>
    <x v="0"/>
    <n v="8828.74"/>
    <n v="21"/>
    <x v="2"/>
    <n v="621.04999999999995"/>
    <n v="820.36999999999989"/>
    <s v="Returning"/>
    <n v="0.24"/>
    <x v="1"/>
    <x v="0"/>
    <s v="North-David"/>
    <n v="199.31999999999994"/>
    <n v="17227.769999999997"/>
    <n v="4185.7199999999984"/>
  </r>
  <r>
    <n v="1010"/>
    <x v="126"/>
    <x v="3"/>
    <x v="2"/>
    <n v="8159.84"/>
    <n v="37"/>
    <x v="2"/>
    <n v="4354.92"/>
    <n v="4495.88"/>
    <s v="Returning"/>
    <n v="0.01"/>
    <x v="1"/>
    <x v="0"/>
    <s v="South-Eve"/>
    <n v="140.96000000000004"/>
    <n v="166347.56"/>
    <n v="5215.5200000000013"/>
  </r>
  <r>
    <n v="1019"/>
    <x v="258"/>
    <x v="0"/>
    <x v="1"/>
    <n v="6882.83"/>
    <n v="27"/>
    <x v="3"/>
    <n v="2387.52"/>
    <n v="2604.06"/>
    <s v="Returning"/>
    <n v="0.16"/>
    <x v="0"/>
    <x v="0"/>
    <s v="West-Bob"/>
    <n v="216.53999999999996"/>
    <n v="70309.62"/>
    <n v="5846.579999999999"/>
  </r>
  <r>
    <n v="1058"/>
    <x v="93"/>
    <x v="3"/>
    <x v="1"/>
    <n v="1193.28"/>
    <n v="29"/>
    <x v="3"/>
    <n v="3578.77"/>
    <n v="3635.02"/>
    <s v="New"/>
    <n v="0.2"/>
    <x v="1"/>
    <x v="1"/>
    <s v="West-Eve"/>
    <n v="56.25"/>
    <n v="105415.58"/>
    <n v="1631.25"/>
  </r>
  <r>
    <n v="1096"/>
    <x v="38"/>
    <x v="0"/>
    <x v="3"/>
    <n v="2962.96"/>
    <n v="20"/>
    <x v="0"/>
    <n v="1994.9"/>
    <n v="2066.5"/>
    <s v="Returning"/>
    <n v="0.06"/>
    <x v="1"/>
    <x v="0"/>
    <s v="East-Bob"/>
    <n v="71.599999999999909"/>
    <n v="41330"/>
    <n v="1431.9999999999982"/>
  </r>
  <r>
    <n v="1001"/>
    <x v="167"/>
    <x v="3"/>
    <x v="3"/>
    <n v="3167.09"/>
    <n v="25"/>
    <x v="3"/>
    <n v="1330.62"/>
    <n v="1543.6899999999998"/>
    <s v="New"/>
    <n v="0.27"/>
    <x v="2"/>
    <x v="0"/>
    <s v="East-Eve"/>
    <n v="213.06999999999994"/>
    <n v="38592.249999999993"/>
    <n v="5326.7499999999982"/>
  </r>
  <r>
    <n v="1069"/>
    <x v="211"/>
    <x v="4"/>
    <x v="3"/>
    <n v="2574.5700000000002"/>
    <n v="6"/>
    <x v="1"/>
    <n v="1768.6"/>
    <n v="2152.1999999999998"/>
    <s v="New"/>
    <n v="0.25"/>
    <x v="1"/>
    <x v="1"/>
    <s v="East-Alice"/>
    <n v="383.59999999999991"/>
    <n v="12913.199999999999"/>
    <n v="2301.5999999999995"/>
  </r>
  <r>
    <n v="1004"/>
    <x v="28"/>
    <x v="4"/>
    <x v="0"/>
    <n v="5198.5600000000004"/>
    <n v="36"/>
    <x v="1"/>
    <n v="3981.2"/>
    <n v="4432.3499999999995"/>
    <s v="New"/>
    <n v="0.14000000000000001"/>
    <x v="0"/>
    <x v="0"/>
    <s v="North-Alice"/>
    <n v="451.14999999999964"/>
    <n v="159564.59999999998"/>
    <n v="16241.399999999987"/>
  </r>
  <r>
    <n v="1016"/>
    <x v="272"/>
    <x v="4"/>
    <x v="1"/>
    <n v="5401.98"/>
    <n v="2"/>
    <x v="3"/>
    <n v="3144.82"/>
    <n v="3480.58"/>
    <s v="Returning"/>
    <n v="0.12"/>
    <x v="0"/>
    <x v="1"/>
    <s v="West-Alice"/>
    <n v="335.75999999999976"/>
    <n v="6961.16"/>
    <n v="671.51999999999953"/>
  </r>
  <r>
    <n v="1024"/>
    <x v="90"/>
    <x v="4"/>
    <x v="2"/>
    <n v="3633.17"/>
    <n v="22"/>
    <x v="1"/>
    <n v="4691.32"/>
    <n v="4752.88"/>
    <s v="Returning"/>
    <n v="7.0000000000000007E-2"/>
    <x v="1"/>
    <x v="1"/>
    <s v="South-Alice"/>
    <n v="61.5600000000004"/>
    <n v="104563.36"/>
    <n v="1354.3200000000088"/>
  </r>
  <r>
    <n v="1080"/>
    <x v="12"/>
    <x v="4"/>
    <x v="3"/>
    <n v="3602.51"/>
    <n v="32"/>
    <x v="3"/>
    <n v="3414.54"/>
    <n v="3753.83"/>
    <s v="New"/>
    <n v="0.22"/>
    <x v="0"/>
    <x v="1"/>
    <s v="East-Alice"/>
    <n v="339.28999999999996"/>
    <n v="120122.56"/>
    <n v="10857.279999999999"/>
  </r>
  <r>
    <n v="1002"/>
    <x v="186"/>
    <x v="4"/>
    <x v="2"/>
    <n v="8302.7000000000007"/>
    <n v="16"/>
    <x v="0"/>
    <n v="2872.4"/>
    <n v="3193.76"/>
    <s v="Returning"/>
    <n v="0.04"/>
    <x v="2"/>
    <x v="0"/>
    <s v="South-Alice"/>
    <n v="321.36000000000013"/>
    <n v="51100.160000000003"/>
    <n v="5141.760000000002"/>
  </r>
  <r>
    <n v="1092"/>
    <x v="217"/>
    <x v="0"/>
    <x v="2"/>
    <n v="7914"/>
    <n v="18"/>
    <x v="1"/>
    <n v="3070.47"/>
    <n v="3475.29"/>
    <s v="Returning"/>
    <n v="0.2"/>
    <x v="1"/>
    <x v="0"/>
    <s v="South-Bob"/>
    <n v="404.82000000000016"/>
    <n v="62555.22"/>
    <n v="7286.7600000000029"/>
  </r>
  <r>
    <n v="1032"/>
    <x v="34"/>
    <x v="1"/>
    <x v="3"/>
    <n v="3147.18"/>
    <n v="5"/>
    <x v="1"/>
    <n v="4714.74"/>
    <n v="5129.1099999999997"/>
    <s v="New"/>
    <n v="0.25"/>
    <x v="1"/>
    <x v="0"/>
    <s v="East-David"/>
    <n v="414.36999999999989"/>
    <n v="25645.55"/>
    <n v="2071.8499999999995"/>
  </r>
  <r>
    <n v="1091"/>
    <x v="273"/>
    <x v="3"/>
    <x v="1"/>
    <n v="9146.51"/>
    <n v="36"/>
    <x v="3"/>
    <n v="3951.59"/>
    <n v="4387.01"/>
    <s v="New"/>
    <n v="7.0000000000000007E-2"/>
    <x v="1"/>
    <x v="1"/>
    <s v="West-Eve"/>
    <n v="435.42000000000007"/>
    <n v="157932.36000000002"/>
    <n v="15675.120000000003"/>
  </r>
  <r>
    <n v="1084"/>
    <x v="80"/>
    <x v="4"/>
    <x v="3"/>
    <n v="9532.8700000000008"/>
    <n v="30"/>
    <x v="1"/>
    <n v="169"/>
    <n v="381.91999999999996"/>
    <s v="Returning"/>
    <n v="0.26"/>
    <x v="0"/>
    <x v="1"/>
    <s v="East-Alice"/>
    <n v="212.91999999999996"/>
    <n v="11457.599999999999"/>
    <n v="6387.5999999999985"/>
  </r>
  <r>
    <n v="1024"/>
    <x v="107"/>
    <x v="0"/>
    <x v="2"/>
    <n v="3334.75"/>
    <n v="45"/>
    <x v="2"/>
    <n v="2693.99"/>
    <n v="3045.9399999999996"/>
    <s v="New"/>
    <n v="0.01"/>
    <x v="0"/>
    <x v="1"/>
    <s v="South-Bob"/>
    <n v="351.94999999999982"/>
    <n v="137067.29999999999"/>
    <n v="15837.749999999993"/>
  </r>
  <r>
    <n v="1012"/>
    <x v="130"/>
    <x v="0"/>
    <x v="3"/>
    <n v="3608.81"/>
    <n v="19"/>
    <x v="0"/>
    <n v="3457.28"/>
    <n v="3598.7200000000003"/>
    <s v="New"/>
    <n v="0.27"/>
    <x v="1"/>
    <x v="0"/>
    <s v="East-Bob"/>
    <n v="141.44000000000005"/>
    <n v="68375.680000000008"/>
    <n v="2687.360000000001"/>
  </r>
  <r>
    <n v="1050"/>
    <x v="26"/>
    <x v="0"/>
    <x v="2"/>
    <n v="5105.78"/>
    <n v="23"/>
    <x v="0"/>
    <n v="3756.06"/>
    <n v="4255.7299999999996"/>
    <s v="Returning"/>
    <n v="0.04"/>
    <x v="0"/>
    <x v="0"/>
    <s v="South-Bob"/>
    <n v="499.66999999999962"/>
    <n v="97881.79"/>
    <n v="11492.409999999991"/>
  </r>
  <r>
    <n v="1035"/>
    <x v="263"/>
    <x v="1"/>
    <x v="2"/>
    <n v="9417.1"/>
    <n v="34"/>
    <x v="1"/>
    <n v="1105.05"/>
    <n v="1200.96"/>
    <s v="Returning"/>
    <n v="0.19"/>
    <x v="0"/>
    <x v="0"/>
    <s v="South-David"/>
    <n v="95.910000000000082"/>
    <n v="40832.639999999999"/>
    <n v="3260.9400000000028"/>
  </r>
  <r>
    <n v="1033"/>
    <x v="216"/>
    <x v="3"/>
    <x v="3"/>
    <n v="8775.56"/>
    <n v="13"/>
    <x v="1"/>
    <n v="4342.53"/>
    <n v="4357.49"/>
    <s v="New"/>
    <n v="0.08"/>
    <x v="1"/>
    <x v="0"/>
    <s v="East-Eve"/>
    <n v="14.960000000000036"/>
    <n v="56647.369999999995"/>
    <n v="194.48000000000047"/>
  </r>
  <r>
    <n v="1033"/>
    <x v="274"/>
    <x v="1"/>
    <x v="0"/>
    <n v="1115.42"/>
    <n v="43"/>
    <x v="2"/>
    <n v="4781.42"/>
    <n v="4864.34"/>
    <s v="Returning"/>
    <n v="0.25"/>
    <x v="1"/>
    <x v="0"/>
    <s v="North-David"/>
    <n v="82.920000000000073"/>
    <n v="209166.62"/>
    <n v="3565.5600000000031"/>
  </r>
  <r>
    <n v="1061"/>
    <x v="237"/>
    <x v="2"/>
    <x v="3"/>
    <n v="3988.03"/>
    <n v="29"/>
    <x v="2"/>
    <n v="1221.74"/>
    <n v="1611.92"/>
    <s v="New"/>
    <n v="0.15"/>
    <x v="0"/>
    <x v="1"/>
    <s v="East-Charlie"/>
    <n v="390.18000000000006"/>
    <n v="46745.68"/>
    <n v="11315.220000000001"/>
  </r>
  <r>
    <n v="1051"/>
    <x v="198"/>
    <x v="0"/>
    <x v="0"/>
    <n v="5578.37"/>
    <n v="36"/>
    <x v="1"/>
    <n v="4418.95"/>
    <n v="4647.87"/>
    <s v="New"/>
    <n v="0.04"/>
    <x v="1"/>
    <x v="0"/>
    <s v="North-Bob"/>
    <n v="228.92000000000007"/>
    <n v="167323.32"/>
    <n v="8241.1200000000026"/>
  </r>
  <r>
    <n v="1043"/>
    <x v="62"/>
    <x v="2"/>
    <x v="2"/>
    <n v="5081.01"/>
    <n v="22"/>
    <x v="1"/>
    <n v="530.04"/>
    <n v="759.31999999999994"/>
    <s v="Returning"/>
    <n v="0.17"/>
    <x v="1"/>
    <x v="1"/>
    <s v="South-Charlie"/>
    <n v="229.27999999999997"/>
    <n v="16705.039999999997"/>
    <n v="5044.16"/>
  </r>
  <r>
    <n v="1012"/>
    <x v="151"/>
    <x v="4"/>
    <x v="2"/>
    <n v="2019.24"/>
    <n v="47"/>
    <x v="2"/>
    <n v="325.75"/>
    <n v="803.71"/>
    <s v="New"/>
    <n v="0.12"/>
    <x v="1"/>
    <x v="1"/>
    <s v="South-Alice"/>
    <n v="477.96000000000004"/>
    <n v="37774.370000000003"/>
    <n v="22464.120000000003"/>
  </r>
  <r>
    <n v="1067"/>
    <x v="275"/>
    <x v="4"/>
    <x v="0"/>
    <n v="8602.2900000000009"/>
    <n v="36"/>
    <x v="3"/>
    <n v="689.66"/>
    <n v="1150.28"/>
    <s v="New"/>
    <n v="0.2"/>
    <x v="1"/>
    <x v="0"/>
    <s v="North-Alice"/>
    <n v="460.62"/>
    <n v="41410.080000000002"/>
    <n v="16582.32"/>
  </r>
  <r>
    <n v="1065"/>
    <x v="174"/>
    <x v="1"/>
    <x v="2"/>
    <n v="6801.71"/>
    <n v="9"/>
    <x v="2"/>
    <n v="335.82"/>
    <n v="498.31"/>
    <s v="New"/>
    <n v="0.26"/>
    <x v="0"/>
    <x v="1"/>
    <s v="South-David"/>
    <n v="162.49"/>
    <n v="4484.79"/>
    <n v="1462.41"/>
  </r>
  <r>
    <n v="1033"/>
    <x v="118"/>
    <x v="3"/>
    <x v="0"/>
    <n v="8395.2900000000009"/>
    <n v="39"/>
    <x v="3"/>
    <n v="4232.8100000000004"/>
    <n v="4345.25"/>
    <s v="Returning"/>
    <n v="0.12"/>
    <x v="1"/>
    <x v="0"/>
    <s v="North-Eve"/>
    <n v="112.4399999999996"/>
    <n v="169464.75"/>
    <n v="4385.1599999999844"/>
  </r>
  <r>
    <n v="1040"/>
    <x v="120"/>
    <x v="2"/>
    <x v="0"/>
    <n v="8601.77"/>
    <n v="19"/>
    <x v="0"/>
    <n v="342.3"/>
    <n v="768.06"/>
    <s v="Returning"/>
    <n v="0.09"/>
    <x v="2"/>
    <x v="0"/>
    <s v="North-Charlie"/>
    <n v="425.75999999999993"/>
    <n v="14593.14"/>
    <n v="8089.4399999999987"/>
  </r>
  <r>
    <n v="1074"/>
    <x v="21"/>
    <x v="3"/>
    <x v="2"/>
    <n v="7508.72"/>
    <n v="38"/>
    <x v="0"/>
    <n v="1394.74"/>
    <n v="1848.69"/>
    <s v="Returning"/>
    <n v="0"/>
    <x v="1"/>
    <x v="1"/>
    <s v="South-Eve"/>
    <n v="453.95000000000005"/>
    <n v="70250.22"/>
    <n v="17250.100000000002"/>
  </r>
  <r>
    <n v="1043"/>
    <x v="89"/>
    <x v="1"/>
    <x v="1"/>
    <n v="4448.18"/>
    <n v="6"/>
    <x v="2"/>
    <n v="563.59"/>
    <n v="838.97"/>
    <s v="New"/>
    <n v="0.17"/>
    <x v="2"/>
    <x v="0"/>
    <s v="West-David"/>
    <n v="275.38"/>
    <n v="5033.82"/>
    <n v="1652.28"/>
  </r>
  <r>
    <n v="1044"/>
    <x v="150"/>
    <x v="4"/>
    <x v="0"/>
    <n v="6144.41"/>
    <n v="47"/>
    <x v="3"/>
    <n v="1512.34"/>
    <n v="1830.76"/>
    <s v="New"/>
    <n v="0.12"/>
    <x v="1"/>
    <x v="0"/>
    <s v="North-Alice"/>
    <n v="318.42000000000007"/>
    <n v="86045.72"/>
    <n v="14965.740000000003"/>
  </r>
  <r>
    <n v="1029"/>
    <x v="67"/>
    <x v="3"/>
    <x v="3"/>
    <n v="1687.62"/>
    <n v="15"/>
    <x v="2"/>
    <n v="498.27"/>
    <n v="634.16"/>
    <s v="Returning"/>
    <n v="0.11"/>
    <x v="2"/>
    <x v="1"/>
    <s v="East-Eve"/>
    <n v="135.88999999999999"/>
    <n v="9512.4"/>
    <n v="2038.35"/>
  </r>
  <r>
    <n v="1013"/>
    <x v="270"/>
    <x v="3"/>
    <x v="3"/>
    <n v="6769.09"/>
    <n v="20"/>
    <x v="2"/>
    <n v="3356.62"/>
    <n v="3759.0099999999998"/>
    <s v="Returning"/>
    <n v="0.05"/>
    <x v="2"/>
    <x v="1"/>
    <s v="East-Eve"/>
    <n v="402.38999999999987"/>
    <n v="75180.2"/>
    <n v="8047.7999999999975"/>
  </r>
  <r>
    <n v="1012"/>
    <x v="263"/>
    <x v="4"/>
    <x v="2"/>
    <n v="1874.61"/>
    <n v="9"/>
    <x v="3"/>
    <n v="709.97"/>
    <n v="1029.71"/>
    <s v="Returning"/>
    <n v="0.13"/>
    <x v="1"/>
    <x v="1"/>
    <s v="South-Alice"/>
    <n v="319.74"/>
    <n v="9267.39"/>
    <n v="2877.66"/>
  </r>
  <r>
    <n v="1095"/>
    <x v="27"/>
    <x v="2"/>
    <x v="1"/>
    <n v="6970.1"/>
    <n v="32"/>
    <x v="2"/>
    <n v="4266.6400000000003"/>
    <n v="4523.3600000000006"/>
    <s v="New"/>
    <n v="0.3"/>
    <x v="1"/>
    <x v="1"/>
    <s v="West-Charlie"/>
    <n v="256.72000000000025"/>
    <n v="144747.52000000002"/>
    <n v="8215.0400000000081"/>
  </r>
  <r>
    <n v="1046"/>
    <x v="256"/>
    <x v="4"/>
    <x v="2"/>
    <n v="2373.02"/>
    <n v="4"/>
    <x v="0"/>
    <n v="4095.1"/>
    <n v="4134.55"/>
    <s v="Returning"/>
    <n v="0.09"/>
    <x v="1"/>
    <x v="1"/>
    <s v="South-Alice"/>
    <n v="39.450000000000273"/>
    <n v="16538.2"/>
    <n v="157.80000000000109"/>
  </r>
  <r>
    <n v="1002"/>
    <x v="276"/>
    <x v="3"/>
    <x v="1"/>
    <n v="1263.76"/>
    <n v="18"/>
    <x v="1"/>
    <n v="117.63"/>
    <n v="576.44000000000005"/>
    <s v="New"/>
    <n v="0.18"/>
    <x v="2"/>
    <x v="1"/>
    <s v="West-Eve"/>
    <n v="458.81000000000006"/>
    <n v="10375.920000000002"/>
    <n v="8258.5800000000017"/>
  </r>
  <r>
    <n v="1035"/>
    <x v="0"/>
    <x v="2"/>
    <x v="0"/>
    <n v="1736.32"/>
    <n v="5"/>
    <x v="1"/>
    <n v="4483.8500000000004"/>
    <n v="4795.42"/>
    <s v="Returning"/>
    <n v="0.23"/>
    <x v="0"/>
    <x v="0"/>
    <s v="North-Charlie"/>
    <n v="311.56999999999971"/>
    <n v="23977.1"/>
    <n v="1557.8499999999985"/>
  </r>
  <r>
    <n v="1087"/>
    <x v="175"/>
    <x v="2"/>
    <x v="0"/>
    <n v="119.72"/>
    <n v="20"/>
    <x v="2"/>
    <n v="193.27"/>
    <n v="297.69"/>
    <s v="New"/>
    <n v="0.22"/>
    <x v="0"/>
    <x v="0"/>
    <s v="North-Charlie"/>
    <n v="104.41999999999999"/>
    <n v="5953.8"/>
    <n v="2088.3999999999996"/>
  </r>
  <r>
    <n v="1081"/>
    <x v="29"/>
    <x v="4"/>
    <x v="0"/>
    <n v="7215.52"/>
    <n v="23"/>
    <x v="3"/>
    <n v="1236.25"/>
    <n v="1543.38"/>
    <s v="New"/>
    <n v="0.1"/>
    <x v="1"/>
    <x v="0"/>
    <s v="North-Alice"/>
    <n v="307.13000000000011"/>
    <n v="35497.740000000005"/>
    <n v="7063.9900000000025"/>
  </r>
  <r>
    <n v="1090"/>
    <x v="277"/>
    <x v="3"/>
    <x v="0"/>
    <n v="7350.77"/>
    <n v="11"/>
    <x v="3"/>
    <n v="210.33"/>
    <n v="552.29"/>
    <s v="Returning"/>
    <n v="0.18"/>
    <x v="0"/>
    <x v="1"/>
    <s v="North-Eve"/>
    <n v="341.95999999999992"/>
    <n v="6075.19"/>
    <n v="3761.559999999999"/>
  </r>
  <r>
    <n v="1008"/>
    <x v="149"/>
    <x v="1"/>
    <x v="3"/>
    <n v="5197.84"/>
    <n v="37"/>
    <x v="0"/>
    <n v="1712.43"/>
    <n v="1980.06"/>
    <s v="New"/>
    <n v="0.26"/>
    <x v="0"/>
    <x v="0"/>
    <s v="East-David"/>
    <n v="267.62999999999988"/>
    <n v="73262.22"/>
    <n v="9902.3099999999959"/>
  </r>
  <r>
    <n v="1093"/>
    <x v="278"/>
    <x v="3"/>
    <x v="3"/>
    <n v="1697.49"/>
    <n v="22"/>
    <x v="3"/>
    <n v="2593.64"/>
    <n v="2955.5099999999998"/>
    <s v="Returning"/>
    <n v="0"/>
    <x v="1"/>
    <x v="1"/>
    <s v="East-Eve"/>
    <n v="361.86999999999989"/>
    <n v="65021.219999999994"/>
    <n v="7961.1399999999976"/>
  </r>
  <r>
    <n v="1026"/>
    <x v="208"/>
    <x v="0"/>
    <x v="2"/>
    <n v="927.19"/>
    <n v="4"/>
    <x v="3"/>
    <n v="3993.39"/>
    <n v="4288.3"/>
    <s v="New"/>
    <n v="0.13"/>
    <x v="2"/>
    <x v="0"/>
    <s v="South-Bob"/>
    <n v="294.91000000000031"/>
    <n v="17153.2"/>
    <n v="1179.6400000000012"/>
  </r>
  <r>
    <n v="1074"/>
    <x v="256"/>
    <x v="1"/>
    <x v="1"/>
    <n v="289.38"/>
    <n v="29"/>
    <x v="0"/>
    <n v="1723.01"/>
    <n v="2197.42"/>
    <s v="New"/>
    <n v="7.0000000000000007E-2"/>
    <x v="1"/>
    <x v="1"/>
    <s v="West-David"/>
    <n v="474.41000000000008"/>
    <n v="63725.18"/>
    <n v="13757.890000000003"/>
  </r>
  <r>
    <n v="1090"/>
    <x v="118"/>
    <x v="2"/>
    <x v="0"/>
    <n v="1740.91"/>
    <n v="44"/>
    <x v="2"/>
    <n v="3542.18"/>
    <n v="3578.49"/>
    <s v="Returning"/>
    <n v="0.12"/>
    <x v="0"/>
    <x v="0"/>
    <s v="North-Charlie"/>
    <n v="36.309999999999945"/>
    <n v="157453.56"/>
    <n v="1597.6399999999976"/>
  </r>
  <r>
    <n v="1034"/>
    <x v="146"/>
    <x v="1"/>
    <x v="0"/>
    <n v="8919.4699999999993"/>
    <n v="34"/>
    <x v="1"/>
    <n v="978.15"/>
    <n v="1040.21"/>
    <s v="New"/>
    <n v="0.12"/>
    <x v="2"/>
    <x v="1"/>
    <s v="North-David"/>
    <n v="62.060000000000059"/>
    <n v="35367.14"/>
    <n v="2110.0400000000018"/>
  </r>
  <r>
    <n v="1007"/>
    <x v="157"/>
    <x v="2"/>
    <x v="1"/>
    <n v="2491.21"/>
    <n v="13"/>
    <x v="0"/>
    <n v="3765.46"/>
    <n v="3860.56"/>
    <s v="Returning"/>
    <n v="0.22"/>
    <x v="0"/>
    <x v="1"/>
    <s v="West-Charlie"/>
    <n v="95.099999999999909"/>
    <n v="50187.28"/>
    <n v="1236.2999999999988"/>
  </r>
  <r>
    <n v="1068"/>
    <x v="24"/>
    <x v="2"/>
    <x v="1"/>
    <n v="3607.29"/>
    <n v="42"/>
    <x v="2"/>
    <n v="1218.18"/>
    <n v="1566.3600000000001"/>
    <s v="Returning"/>
    <n v="0.03"/>
    <x v="2"/>
    <x v="1"/>
    <s v="West-Charlie"/>
    <n v="348.18000000000006"/>
    <n v="65787.12000000001"/>
    <n v="14623.560000000003"/>
  </r>
  <r>
    <n v="1058"/>
    <x v="279"/>
    <x v="1"/>
    <x v="2"/>
    <n v="1142.92"/>
    <n v="9"/>
    <x v="0"/>
    <n v="760.55"/>
    <n v="1086.8899999999999"/>
    <s v="Returning"/>
    <n v="0.15"/>
    <x v="0"/>
    <x v="1"/>
    <s v="South-David"/>
    <n v="326.33999999999992"/>
    <n v="9782.0099999999984"/>
    <n v="2937.0599999999995"/>
  </r>
  <r>
    <n v="1075"/>
    <x v="3"/>
    <x v="2"/>
    <x v="1"/>
    <n v="2301.38"/>
    <n v="42"/>
    <x v="2"/>
    <n v="967.77"/>
    <n v="1414.88"/>
    <s v="New"/>
    <n v="0.17"/>
    <x v="1"/>
    <x v="0"/>
    <s v="West-Charlie"/>
    <n v="447.11000000000013"/>
    <n v="59424.960000000006"/>
    <n v="18778.620000000006"/>
  </r>
  <r>
    <n v="1029"/>
    <x v="280"/>
    <x v="2"/>
    <x v="0"/>
    <n v="5240.32"/>
    <n v="31"/>
    <x v="0"/>
    <n v="951.21"/>
    <n v="1320.3200000000002"/>
    <s v="New"/>
    <n v="0.15"/>
    <x v="0"/>
    <x v="0"/>
    <s v="North-Charlie"/>
    <n v="369.11000000000013"/>
    <n v="40929.920000000006"/>
    <n v="11442.410000000003"/>
  </r>
  <r>
    <n v="1036"/>
    <x v="281"/>
    <x v="0"/>
    <x v="0"/>
    <n v="6116.75"/>
    <n v="7"/>
    <x v="2"/>
    <n v="2588.67"/>
    <n v="2847.76"/>
    <s v="New"/>
    <n v="0.22"/>
    <x v="0"/>
    <x v="1"/>
    <s v="North-Bob"/>
    <n v="259.09000000000015"/>
    <n v="19934.32"/>
    <n v="1813.630000000001"/>
  </r>
  <r>
    <n v="1089"/>
    <x v="3"/>
    <x v="3"/>
    <x v="0"/>
    <n v="2528.9899999999998"/>
    <n v="4"/>
    <x v="0"/>
    <n v="4231.75"/>
    <n v="4727.75"/>
    <s v="Returning"/>
    <n v="0.12"/>
    <x v="2"/>
    <x v="1"/>
    <s v="North-Eve"/>
    <n v="496"/>
    <n v="18911"/>
    <n v="1984"/>
  </r>
  <r>
    <n v="1021"/>
    <x v="207"/>
    <x v="3"/>
    <x v="0"/>
    <n v="671.55"/>
    <n v="19"/>
    <x v="2"/>
    <n v="444.05"/>
    <n v="584.44000000000005"/>
    <s v="Returning"/>
    <n v="0.28000000000000003"/>
    <x v="0"/>
    <x v="1"/>
    <s v="North-Eve"/>
    <n v="140.39000000000004"/>
    <n v="11104.36"/>
    <n v="2667.4100000000008"/>
  </r>
  <r>
    <n v="1036"/>
    <x v="199"/>
    <x v="0"/>
    <x v="0"/>
    <n v="3971.23"/>
    <n v="42"/>
    <x v="0"/>
    <n v="3549.43"/>
    <n v="3967.6899999999996"/>
    <s v="New"/>
    <n v="0.14000000000000001"/>
    <x v="1"/>
    <x v="0"/>
    <s v="North-Bob"/>
    <n v="418.25999999999976"/>
    <n v="166642.97999999998"/>
    <n v="17566.919999999991"/>
  </r>
  <r>
    <n v="1010"/>
    <x v="197"/>
    <x v="1"/>
    <x v="2"/>
    <n v="2418.61"/>
    <n v="30"/>
    <x v="1"/>
    <n v="3289.01"/>
    <n v="3508.1400000000003"/>
    <s v="New"/>
    <n v="0.17"/>
    <x v="1"/>
    <x v="1"/>
    <s v="South-David"/>
    <n v="219.13000000000011"/>
    <n v="105244.20000000001"/>
    <n v="6573.9000000000033"/>
  </r>
  <r>
    <n v="1073"/>
    <x v="282"/>
    <x v="4"/>
    <x v="0"/>
    <n v="2273.58"/>
    <n v="31"/>
    <x v="1"/>
    <n v="4368.97"/>
    <n v="4696.8500000000004"/>
    <s v="Returning"/>
    <n v="0.25"/>
    <x v="1"/>
    <x v="1"/>
    <s v="North-Alice"/>
    <n v="327.88000000000011"/>
    <n v="145602.35"/>
    <n v="10164.280000000002"/>
  </r>
  <r>
    <n v="1024"/>
    <x v="283"/>
    <x v="4"/>
    <x v="2"/>
    <n v="9602.64"/>
    <n v="35"/>
    <x v="3"/>
    <n v="1258.53"/>
    <n v="1624.8899999999999"/>
    <s v="New"/>
    <n v="0.08"/>
    <x v="2"/>
    <x v="0"/>
    <s v="South-Alice"/>
    <n v="366.3599999999999"/>
    <n v="56871.149999999994"/>
    <n v="12822.599999999997"/>
  </r>
  <r>
    <n v="1064"/>
    <x v="177"/>
    <x v="4"/>
    <x v="0"/>
    <n v="6201.37"/>
    <n v="21"/>
    <x v="2"/>
    <n v="2278.04"/>
    <n v="2598.58"/>
    <s v="Returning"/>
    <n v="0.02"/>
    <x v="2"/>
    <x v="1"/>
    <s v="North-Alice"/>
    <n v="320.53999999999996"/>
    <n v="54570.18"/>
    <n v="6731.3399999999992"/>
  </r>
  <r>
    <n v="1099"/>
    <x v="284"/>
    <x v="0"/>
    <x v="3"/>
    <n v="5613.1"/>
    <n v="31"/>
    <x v="0"/>
    <n v="4632.8500000000004"/>
    <n v="4711.7000000000007"/>
    <s v="New"/>
    <n v="0.21"/>
    <x v="0"/>
    <x v="1"/>
    <s v="East-Bob"/>
    <n v="78.850000000000364"/>
    <n v="146062.70000000001"/>
    <n v="2444.3500000000113"/>
  </r>
  <r>
    <n v="1049"/>
    <x v="60"/>
    <x v="0"/>
    <x v="3"/>
    <n v="4216.17"/>
    <n v="19"/>
    <x v="2"/>
    <n v="3316.97"/>
    <n v="3544.02"/>
    <s v="Returning"/>
    <n v="0.14000000000000001"/>
    <x v="0"/>
    <x v="0"/>
    <s v="East-Bob"/>
    <n v="227.05000000000018"/>
    <n v="67336.38"/>
    <n v="4313.9500000000035"/>
  </r>
  <r>
    <n v="1099"/>
    <x v="189"/>
    <x v="2"/>
    <x v="3"/>
    <n v="4346.55"/>
    <n v="31"/>
    <x v="1"/>
    <n v="1974.4"/>
    <n v="2259.5"/>
    <s v="New"/>
    <n v="0.27"/>
    <x v="0"/>
    <x v="1"/>
    <s v="East-Charlie"/>
    <n v="285.09999999999991"/>
    <n v="70044.5"/>
    <n v="8838.0999999999967"/>
  </r>
  <r>
    <n v="1036"/>
    <x v="50"/>
    <x v="4"/>
    <x v="3"/>
    <n v="5454.96"/>
    <n v="32"/>
    <x v="2"/>
    <n v="700.49"/>
    <n v="1126.52"/>
    <s v="New"/>
    <n v="0.28999999999999998"/>
    <x v="2"/>
    <x v="1"/>
    <s v="East-Alice"/>
    <n v="426.03"/>
    <n v="36048.639999999999"/>
    <n v="13632.96"/>
  </r>
  <r>
    <n v="1082"/>
    <x v="238"/>
    <x v="1"/>
    <x v="2"/>
    <n v="6994.66"/>
    <n v="2"/>
    <x v="0"/>
    <n v="1349.3"/>
    <n v="1576.69"/>
    <s v="Returning"/>
    <n v="0.12"/>
    <x v="2"/>
    <x v="0"/>
    <s v="South-David"/>
    <n v="227.3900000000001"/>
    <n v="3153.38"/>
    <n v="454.7800000000002"/>
  </r>
  <r>
    <n v="1096"/>
    <x v="62"/>
    <x v="1"/>
    <x v="2"/>
    <n v="7051.25"/>
    <n v="10"/>
    <x v="2"/>
    <n v="2927.02"/>
    <n v="3387.21"/>
    <s v="Returning"/>
    <n v="0.12"/>
    <x v="0"/>
    <x v="1"/>
    <s v="South-David"/>
    <n v="460.19000000000005"/>
    <n v="33872.1"/>
    <n v="4601.9000000000005"/>
  </r>
  <r>
    <n v="1024"/>
    <x v="115"/>
    <x v="4"/>
    <x v="1"/>
    <n v="1799.77"/>
    <n v="2"/>
    <x v="0"/>
    <n v="3604.93"/>
    <n v="3830.71"/>
    <s v="Returning"/>
    <n v="0.12"/>
    <x v="2"/>
    <x v="0"/>
    <s v="West-Alice"/>
    <n v="225.7800000000002"/>
    <n v="7661.42"/>
    <n v="451.5600000000004"/>
  </r>
  <r>
    <n v="1023"/>
    <x v="250"/>
    <x v="4"/>
    <x v="0"/>
    <n v="5051.12"/>
    <n v="2"/>
    <x v="1"/>
    <n v="665.89"/>
    <n v="944.79"/>
    <s v="New"/>
    <n v="0.1"/>
    <x v="2"/>
    <x v="1"/>
    <s v="North-Alice"/>
    <n v="278.89999999999998"/>
    <n v="1889.58"/>
    <n v="557.79999999999995"/>
  </r>
  <r>
    <n v="1062"/>
    <x v="259"/>
    <x v="4"/>
    <x v="3"/>
    <n v="4178.3900000000003"/>
    <n v="24"/>
    <x v="1"/>
    <n v="3018.01"/>
    <n v="3418.19"/>
    <s v="Returning"/>
    <n v="0.23"/>
    <x v="1"/>
    <x v="1"/>
    <s v="East-Alice"/>
    <n v="400.17999999999984"/>
    <n v="82036.56"/>
    <n v="9604.3199999999961"/>
  </r>
  <r>
    <n v="1096"/>
    <x v="82"/>
    <x v="0"/>
    <x v="2"/>
    <n v="8718.2199999999993"/>
    <n v="17"/>
    <x v="1"/>
    <n v="2774.24"/>
    <n v="3069.9399999999996"/>
    <s v="Returning"/>
    <n v="0.23"/>
    <x v="1"/>
    <x v="1"/>
    <s v="South-Bob"/>
    <n v="295.69999999999982"/>
    <n v="52188.979999999996"/>
    <n v="5026.8999999999969"/>
  </r>
  <r>
    <n v="1037"/>
    <x v="176"/>
    <x v="0"/>
    <x v="0"/>
    <n v="6351.05"/>
    <n v="32"/>
    <x v="3"/>
    <n v="2594.08"/>
    <n v="3074.59"/>
    <s v="New"/>
    <n v="0.14000000000000001"/>
    <x v="0"/>
    <x v="1"/>
    <s v="North-Bob"/>
    <n v="480.51000000000022"/>
    <n v="98386.880000000005"/>
    <n v="15376.320000000007"/>
  </r>
  <r>
    <n v="1012"/>
    <x v="56"/>
    <x v="0"/>
    <x v="0"/>
    <n v="5371.79"/>
    <n v="16"/>
    <x v="1"/>
    <n v="3466.11"/>
    <n v="3799.67"/>
    <s v="Returning"/>
    <n v="0.01"/>
    <x v="0"/>
    <x v="1"/>
    <s v="North-Bob"/>
    <n v="333.55999999999995"/>
    <n v="60794.720000000001"/>
    <n v="5336.9599999999991"/>
  </r>
  <r>
    <n v="1055"/>
    <x v="254"/>
    <x v="3"/>
    <x v="2"/>
    <n v="1242.4100000000001"/>
    <n v="16"/>
    <x v="2"/>
    <n v="4195.38"/>
    <n v="4461.51"/>
    <s v="Returning"/>
    <n v="0.09"/>
    <x v="1"/>
    <x v="0"/>
    <s v="South-Eve"/>
    <n v="266.13000000000011"/>
    <n v="71384.160000000003"/>
    <n v="4258.0800000000017"/>
  </r>
  <r>
    <n v="1013"/>
    <x v="62"/>
    <x v="1"/>
    <x v="3"/>
    <n v="6095.82"/>
    <n v="46"/>
    <x v="3"/>
    <n v="1648.8"/>
    <n v="1670.36"/>
    <s v="Returning"/>
    <n v="0.09"/>
    <x v="2"/>
    <x v="1"/>
    <s v="East-David"/>
    <n v="21.559999999999945"/>
    <n v="76836.56"/>
    <n v="991.75999999999749"/>
  </r>
  <r>
    <n v="1023"/>
    <x v="262"/>
    <x v="1"/>
    <x v="1"/>
    <n v="1260.32"/>
    <n v="39"/>
    <x v="1"/>
    <n v="4450.6099999999997"/>
    <n v="4663.3399999999992"/>
    <s v="New"/>
    <n v="0.24"/>
    <x v="0"/>
    <x v="1"/>
    <s v="West-David"/>
    <n v="212.72999999999956"/>
    <n v="181870.25999999998"/>
    <n v="8296.469999999983"/>
  </r>
  <r>
    <n v="1089"/>
    <x v="18"/>
    <x v="2"/>
    <x v="0"/>
    <n v="3438.35"/>
    <n v="31"/>
    <x v="2"/>
    <n v="845.14"/>
    <n v="1001.77"/>
    <s v="New"/>
    <n v="0.03"/>
    <x v="0"/>
    <x v="0"/>
    <s v="North-Charlie"/>
    <n v="156.63"/>
    <n v="31054.87"/>
    <n v="4855.53"/>
  </r>
  <r>
    <n v="1099"/>
    <x v="105"/>
    <x v="0"/>
    <x v="1"/>
    <n v="1514.14"/>
    <n v="43"/>
    <x v="2"/>
    <n v="906.47"/>
    <n v="1283.04"/>
    <s v="New"/>
    <n v="0.24"/>
    <x v="0"/>
    <x v="0"/>
    <s v="West-Bob"/>
    <n v="376.56999999999994"/>
    <n v="55170.720000000001"/>
    <n v="16192.509999999997"/>
  </r>
  <r>
    <n v="1030"/>
    <x v="78"/>
    <x v="3"/>
    <x v="3"/>
    <n v="6951.53"/>
    <n v="24"/>
    <x v="2"/>
    <n v="1370.52"/>
    <n v="1482.58"/>
    <s v="Returning"/>
    <n v="0.2"/>
    <x v="2"/>
    <x v="1"/>
    <s v="East-Eve"/>
    <n v="112.05999999999995"/>
    <n v="35581.919999999998"/>
    <n v="2689.4399999999987"/>
  </r>
  <r>
    <n v="1017"/>
    <x v="146"/>
    <x v="3"/>
    <x v="3"/>
    <n v="2141.9"/>
    <n v="1"/>
    <x v="0"/>
    <n v="641.67999999999995"/>
    <n v="752.24"/>
    <s v="New"/>
    <n v="0.22"/>
    <x v="1"/>
    <x v="0"/>
    <s v="East-Eve"/>
    <n v="110.56000000000006"/>
    <n v="752.24"/>
    <n v="110.56000000000006"/>
  </r>
  <r>
    <n v="1062"/>
    <x v="176"/>
    <x v="1"/>
    <x v="1"/>
    <n v="3979.41"/>
    <n v="11"/>
    <x v="3"/>
    <n v="1190.08"/>
    <n v="1292.9399999999998"/>
    <s v="Returning"/>
    <n v="0.13"/>
    <x v="0"/>
    <x v="1"/>
    <s v="West-David"/>
    <n v="102.8599999999999"/>
    <n v="14222.339999999998"/>
    <n v="1131.4599999999989"/>
  </r>
  <r>
    <n v="1084"/>
    <x v="142"/>
    <x v="0"/>
    <x v="3"/>
    <n v="8967.18"/>
    <n v="21"/>
    <x v="2"/>
    <n v="576.74"/>
    <n v="648.29"/>
    <s v="Returning"/>
    <n v="0.2"/>
    <x v="1"/>
    <x v="0"/>
    <s v="East-Bob"/>
    <n v="71.549999999999955"/>
    <n v="13614.09"/>
    <n v="1502.549999999999"/>
  </r>
  <r>
    <n v="1089"/>
    <x v="42"/>
    <x v="2"/>
    <x v="0"/>
    <n v="2122.73"/>
    <n v="4"/>
    <x v="0"/>
    <n v="4117.67"/>
    <n v="4280.0600000000004"/>
    <s v="Returning"/>
    <n v="0.18"/>
    <x v="1"/>
    <x v="0"/>
    <s v="North-Charlie"/>
    <n v="162.39000000000033"/>
    <n v="17120.240000000002"/>
    <n v="649.56000000000131"/>
  </r>
  <r>
    <n v="1086"/>
    <x v="65"/>
    <x v="0"/>
    <x v="1"/>
    <n v="5127.2700000000004"/>
    <n v="7"/>
    <x v="1"/>
    <n v="737.9"/>
    <n v="1182"/>
    <s v="New"/>
    <n v="0.23"/>
    <x v="2"/>
    <x v="1"/>
    <s v="West-Bob"/>
    <n v="444.1"/>
    <n v="8274"/>
    <n v="3108.7000000000003"/>
  </r>
  <r>
    <n v="1013"/>
    <x v="11"/>
    <x v="4"/>
    <x v="3"/>
    <n v="4250.79"/>
    <n v="26"/>
    <x v="2"/>
    <n v="3749.12"/>
    <n v="4138.83"/>
    <s v="New"/>
    <n v="0.13"/>
    <x v="2"/>
    <x v="0"/>
    <s v="East-Alice"/>
    <n v="389.71000000000004"/>
    <n v="107609.58"/>
    <n v="10132.460000000001"/>
  </r>
  <r>
    <n v="1059"/>
    <x v="115"/>
    <x v="0"/>
    <x v="1"/>
    <n v="279.43"/>
    <n v="47"/>
    <x v="0"/>
    <n v="287.17"/>
    <n v="657.44"/>
    <s v="Returning"/>
    <n v="0.14000000000000001"/>
    <x v="2"/>
    <x v="1"/>
    <s v="West-Bob"/>
    <n v="370.27000000000004"/>
    <n v="30899.680000000004"/>
    <n v="17402.690000000002"/>
  </r>
  <r>
    <n v="1019"/>
    <x v="271"/>
    <x v="4"/>
    <x v="0"/>
    <n v="7948.31"/>
    <n v="12"/>
    <x v="2"/>
    <n v="4745.18"/>
    <n v="5145.88"/>
    <s v="Returning"/>
    <n v="0.19"/>
    <x v="2"/>
    <x v="0"/>
    <s v="North-Alice"/>
    <n v="400.69999999999982"/>
    <n v="61750.559999999998"/>
    <n v="4808.3999999999978"/>
  </r>
  <r>
    <n v="1049"/>
    <x v="285"/>
    <x v="4"/>
    <x v="3"/>
    <n v="783.55"/>
    <n v="31"/>
    <x v="3"/>
    <n v="3570.24"/>
    <n v="3712.25"/>
    <s v="New"/>
    <n v="0.03"/>
    <x v="2"/>
    <x v="0"/>
    <s v="East-Alice"/>
    <n v="142.01000000000022"/>
    <n v="115079.75"/>
    <n v="4402.3100000000068"/>
  </r>
  <r>
    <n v="1100"/>
    <x v="286"/>
    <x v="2"/>
    <x v="0"/>
    <n v="4795.12"/>
    <n v="17"/>
    <x v="3"/>
    <n v="83.64"/>
    <n v="528.49"/>
    <s v="New"/>
    <n v="0.13"/>
    <x v="2"/>
    <x v="0"/>
    <s v="North-Charlie"/>
    <n v="444.85"/>
    <n v="8984.33"/>
    <n v="7562.4500000000007"/>
  </r>
  <r>
    <n v="1012"/>
    <x v="228"/>
    <x v="1"/>
    <x v="3"/>
    <n v="5650.72"/>
    <n v="33"/>
    <x v="1"/>
    <n v="3831.09"/>
    <n v="3908.3700000000003"/>
    <s v="New"/>
    <n v="0.28999999999999998"/>
    <x v="0"/>
    <x v="1"/>
    <s v="East-David"/>
    <n v="77.2800000000002"/>
    <n v="128976.21"/>
    <n v="2550.2400000000066"/>
  </r>
  <r>
    <n v="1061"/>
    <x v="287"/>
    <x v="0"/>
    <x v="2"/>
    <n v="6321.42"/>
    <n v="11"/>
    <x v="2"/>
    <n v="2594.71"/>
    <n v="2769.52"/>
    <s v="Returning"/>
    <n v="0.01"/>
    <x v="1"/>
    <x v="1"/>
    <s v="South-Bob"/>
    <n v="174.80999999999995"/>
    <n v="30464.720000000001"/>
    <n v="1922.9099999999994"/>
  </r>
  <r>
    <n v="1019"/>
    <x v="141"/>
    <x v="4"/>
    <x v="3"/>
    <n v="6917.45"/>
    <n v="28"/>
    <x v="0"/>
    <n v="3907.86"/>
    <n v="4205.37"/>
    <s v="New"/>
    <n v="0.09"/>
    <x v="2"/>
    <x v="0"/>
    <s v="East-Alice"/>
    <n v="297.50999999999976"/>
    <n v="117750.36"/>
    <n v="8330.2799999999934"/>
  </r>
  <r>
    <n v="1076"/>
    <x v="89"/>
    <x v="0"/>
    <x v="1"/>
    <n v="2607.4"/>
    <n v="32"/>
    <x v="1"/>
    <n v="2636.36"/>
    <n v="2696.78"/>
    <s v="New"/>
    <n v="0.09"/>
    <x v="0"/>
    <x v="1"/>
    <s v="West-Bob"/>
    <n v="60.420000000000073"/>
    <n v="86296.960000000006"/>
    <n v="1933.4400000000023"/>
  </r>
  <r>
    <n v="1009"/>
    <x v="113"/>
    <x v="1"/>
    <x v="3"/>
    <n v="198.79"/>
    <n v="1"/>
    <x v="2"/>
    <n v="3223.07"/>
    <n v="3590.83"/>
    <s v="New"/>
    <n v="0.19"/>
    <x v="1"/>
    <x v="1"/>
    <s v="East-David"/>
    <n v="367.75999999999976"/>
    <n v="3590.83"/>
    <n v="367.75999999999976"/>
  </r>
  <r>
    <n v="1071"/>
    <x v="249"/>
    <x v="1"/>
    <x v="0"/>
    <n v="7262.09"/>
    <n v="47"/>
    <x v="1"/>
    <n v="3942.34"/>
    <n v="4142.09"/>
    <s v="Returning"/>
    <n v="0.03"/>
    <x v="2"/>
    <x v="1"/>
    <s v="North-David"/>
    <n v="199.75"/>
    <n v="194678.23"/>
    <n v="9388.25"/>
  </r>
  <r>
    <n v="1028"/>
    <x v="30"/>
    <x v="3"/>
    <x v="0"/>
    <n v="5403"/>
    <n v="28"/>
    <x v="0"/>
    <n v="2055.2800000000002"/>
    <n v="2449.6400000000003"/>
    <s v="New"/>
    <n v="0.19"/>
    <x v="2"/>
    <x v="0"/>
    <s v="North-Eve"/>
    <n v="394.36000000000013"/>
    <n v="68589.920000000013"/>
    <n v="11042.080000000004"/>
  </r>
  <r>
    <n v="1095"/>
    <x v="128"/>
    <x v="2"/>
    <x v="1"/>
    <n v="8231.74"/>
    <n v="7"/>
    <x v="1"/>
    <n v="4257.24"/>
    <n v="4355.87"/>
    <s v="Returning"/>
    <n v="0.03"/>
    <x v="1"/>
    <x v="0"/>
    <s v="West-Charlie"/>
    <n v="98.630000000000109"/>
    <n v="30491.09"/>
    <n v="690.41000000000076"/>
  </r>
  <r>
    <n v="1052"/>
    <x v="288"/>
    <x v="4"/>
    <x v="2"/>
    <n v="8448.93"/>
    <n v="2"/>
    <x v="1"/>
    <n v="1935.41"/>
    <n v="2305.44"/>
    <s v="Returning"/>
    <n v="0.22"/>
    <x v="2"/>
    <x v="0"/>
    <s v="South-Alice"/>
    <n v="370.03"/>
    <n v="4610.88"/>
    <n v="740.06"/>
  </r>
  <r>
    <n v="1083"/>
    <x v="11"/>
    <x v="3"/>
    <x v="1"/>
    <n v="4902.4399999999996"/>
    <n v="42"/>
    <x v="2"/>
    <n v="2505.41"/>
    <n v="2638.96"/>
    <s v="New"/>
    <n v="0.1"/>
    <x v="1"/>
    <x v="0"/>
    <s v="West-Eve"/>
    <n v="133.55000000000018"/>
    <n v="110836.32"/>
    <n v="5609.1000000000076"/>
  </r>
  <r>
    <n v="1016"/>
    <x v="163"/>
    <x v="2"/>
    <x v="2"/>
    <n v="3402.92"/>
    <n v="24"/>
    <x v="0"/>
    <n v="88.44"/>
    <n v="338.94"/>
    <s v="New"/>
    <n v="0.28999999999999998"/>
    <x v="0"/>
    <x v="0"/>
    <s v="South-Charlie"/>
    <n v="250.5"/>
    <n v="8134.5599999999995"/>
    <n v="6012"/>
  </r>
  <r>
    <n v="1069"/>
    <x v="148"/>
    <x v="0"/>
    <x v="0"/>
    <n v="7936.43"/>
    <n v="4"/>
    <x v="3"/>
    <n v="2485.86"/>
    <n v="2532.8700000000003"/>
    <s v="New"/>
    <n v="0.01"/>
    <x v="2"/>
    <x v="0"/>
    <s v="North-Bob"/>
    <n v="47.010000000000218"/>
    <n v="10131.480000000001"/>
    <n v="188.04000000000087"/>
  </r>
  <r>
    <n v="1099"/>
    <x v="289"/>
    <x v="4"/>
    <x v="1"/>
    <n v="4567.8100000000004"/>
    <n v="44"/>
    <x v="2"/>
    <n v="4933.1099999999997"/>
    <n v="5245.86"/>
    <s v="Returning"/>
    <n v="0.13"/>
    <x v="1"/>
    <x v="1"/>
    <s v="West-Alice"/>
    <n v="312.75"/>
    <n v="230817.84"/>
    <n v="13761"/>
  </r>
  <r>
    <n v="1012"/>
    <x v="66"/>
    <x v="1"/>
    <x v="2"/>
    <n v="1916.08"/>
    <n v="19"/>
    <x v="3"/>
    <n v="1427.42"/>
    <n v="1763.69"/>
    <s v="New"/>
    <n v="0.03"/>
    <x v="0"/>
    <x v="1"/>
    <s v="South-David"/>
    <n v="336.27"/>
    <n v="33510.11"/>
    <n v="6389.1299999999992"/>
  </r>
  <r>
    <n v="1025"/>
    <x v="290"/>
    <x v="4"/>
    <x v="3"/>
    <n v="8564.24"/>
    <n v="26"/>
    <x v="3"/>
    <n v="2007.32"/>
    <n v="2202.87"/>
    <s v="Returning"/>
    <n v="0.11"/>
    <x v="0"/>
    <x v="0"/>
    <s v="East-Alice"/>
    <n v="195.54999999999995"/>
    <n v="57274.619999999995"/>
    <n v="5084.2999999999993"/>
  </r>
  <r>
    <n v="1052"/>
    <x v="99"/>
    <x v="0"/>
    <x v="0"/>
    <n v="8837.34"/>
    <n v="11"/>
    <x v="2"/>
    <n v="3451.59"/>
    <n v="3929.26"/>
    <s v="New"/>
    <n v="0.3"/>
    <x v="2"/>
    <x v="1"/>
    <s v="North-Bob"/>
    <n v="477.67000000000007"/>
    <n v="43221.86"/>
    <n v="5254.3700000000008"/>
  </r>
  <r>
    <n v="1085"/>
    <x v="70"/>
    <x v="3"/>
    <x v="3"/>
    <n v="4716.47"/>
    <n v="40"/>
    <x v="2"/>
    <n v="4083.23"/>
    <n v="4521.57"/>
    <s v="New"/>
    <n v="0.27"/>
    <x v="1"/>
    <x v="1"/>
    <s v="East-Eve"/>
    <n v="438.33999999999969"/>
    <n v="180862.8"/>
    <n v="17533.599999999988"/>
  </r>
  <r>
    <n v="1100"/>
    <x v="205"/>
    <x v="3"/>
    <x v="0"/>
    <n v="849.43"/>
    <n v="43"/>
    <x v="0"/>
    <n v="2116.09"/>
    <n v="2472.98"/>
    <s v="New"/>
    <n v="0.01"/>
    <x v="2"/>
    <x v="1"/>
    <s v="North-Eve"/>
    <n v="356.88999999999987"/>
    <n v="106338.14"/>
    <n v="15346.269999999995"/>
  </r>
  <r>
    <n v="1053"/>
    <x v="57"/>
    <x v="3"/>
    <x v="1"/>
    <n v="3939.48"/>
    <n v="11"/>
    <x v="0"/>
    <n v="1582.86"/>
    <n v="1942.55"/>
    <s v="New"/>
    <n v="0.17"/>
    <x v="2"/>
    <x v="1"/>
    <s v="West-Eve"/>
    <n v="359.69000000000005"/>
    <n v="21368.05"/>
    <n v="3956.5900000000006"/>
  </r>
  <r>
    <n v="1023"/>
    <x v="186"/>
    <x v="1"/>
    <x v="1"/>
    <n v="8055.02"/>
    <n v="45"/>
    <x v="1"/>
    <n v="4692.24"/>
    <n v="4825.92"/>
    <s v="Returning"/>
    <n v="0.19"/>
    <x v="1"/>
    <x v="1"/>
    <s v="West-David"/>
    <n v="133.68000000000029"/>
    <n v="217166.4"/>
    <n v="6015.6000000000131"/>
  </r>
  <r>
    <n v="1016"/>
    <x v="177"/>
    <x v="2"/>
    <x v="0"/>
    <n v="9027.56"/>
    <n v="3"/>
    <x v="3"/>
    <n v="3401.87"/>
    <n v="3733.71"/>
    <s v="Returning"/>
    <n v="0.06"/>
    <x v="1"/>
    <x v="1"/>
    <s v="North-Charlie"/>
    <n v="331.84000000000015"/>
    <n v="11201.130000000001"/>
    <n v="995.52000000000044"/>
  </r>
  <r>
    <n v="1057"/>
    <x v="230"/>
    <x v="2"/>
    <x v="0"/>
    <n v="2114.38"/>
    <n v="12"/>
    <x v="0"/>
    <n v="639.16"/>
    <n v="746.28"/>
    <s v="Returning"/>
    <n v="0.04"/>
    <x v="1"/>
    <x v="1"/>
    <s v="North-Charlie"/>
    <n v="107.12"/>
    <n v="8955.36"/>
    <n v="1285.44"/>
  </r>
  <r>
    <n v="1039"/>
    <x v="291"/>
    <x v="4"/>
    <x v="0"/>
    <n v="763.04"/>
    <n v="3"/>
    <x v="1"/>
    <n v="391.19"/>
    <n v="471.75"/>
    <s v="Returning"/>
    <n v="0.27"/>
    <x v="0"/>
    <x v="0"/>
    <s v="North-Alice"/>
    <n v="80.56"/>
    <n v="1415.25"/>
    <n v="241.68"/>
  </r>
  <r>
    <n v="1053"/>
    <x v="54"/>
    <x v="1"/>
    <x v="1"/>
    <n v="8785.77"/>
    <n v="42"/>
    <x v="0"/>
    <n v="2443.5700000000002"/>
    <n v="2943.3100000000004"/>
    <s v="New"/>
    <n v="0.28999999999999998"/>
    <x v="0"/>
    <x v="0"/>
    <s v="West-David"/>
    <n v="499.74000000000024"/>
    <n v="123619.02000000002"/>
    <n v="20989.080000000009"/>
  </r>
  <r>
    <n v="1042"/>
    <x v="289"/>
    <x v="3"/>
    <x v="2"/>
    <n v="3955.11"/>
    <n v="27"/>
    <x v="2"/>
    <n v="1139.45"/>
    <n v="1454.41"/>
    <s v="Returning"/>
    <n v="0.3"/>
    <x v="1"/>
    <x v="0"/>
    <s v="South-Eve"/>
    <n v="314.96000000000004"/>
    <n v="39269.07"/>
    <n v="8503.9200000000019"/>
  </r>
  <r>
    <n v="1058"/>
    <x v="262"/>
    <x v="3"/>
    <x v="3"/>
    <n v="5463.43"/>
    <n v="49"/>
    <x v="0"/>
    <n v="1307.22"/>
    <n v="1528.4"/>
    <s v="Returning"/>
    <n v="0.24"/>
    <x v="0"/>
    <x v="1"/>
    <s v="East-Eve"/>
    <n v="221.18000000000006"/>
    <n v="74891.600000000006"/>
    <n v="10837.820000000003"/>
  </r>
  <r>
    <n v="1039"/>
    <x v="68"/>
    <x v="0"/>
    <x v="3"/>
    <n v="9683.85"/>
    <n v="2"/>
    <x v="3"/>
    <n v="4394.58"/>
    <n v="4545.78"/>
    <s v="Returning"/>
    <n v="0.2"/>
    <x v="2"/>
    <x v="1"/>
    <s v="East-Bob"/>
    <n v="151.19999999999982"/>
    <n v="9091.56"/>
    <n v="302.39999999999964"/>
  </r>
  <r>
    <n v="1014"/>
    <x v="292"/>
    <x v="0"/>
    <x v="1"/>
    <n v="758.99"/>
    <n v="49"/>
    <x v="0"/>
    <n v="493.35"/>
    <n v="799.27"/>
    <s v="New"/>
    <n v="0.1"/>
    <x v="1"/>
    <x v="0"/>
    <s v="West-Bob"/>
    <n v="305.91999999999996"/>
    <n v="39164.229999999996"/>
    <n v="14990.079999999998"/>
  </r>
  <r>
    <n v="1095"/>
    <x v="42"/>
    <x v="3"/>
    <x v="3"/>
    <n v="6518.35"/>
    <n v="16"/>
    <x v="3"/>
    <n v="3591.05"/>
    <n v="3625.3500000000004"/>
    <s v="Returning"/>
    <n v="0.05"/>
    <x v="2"/>
    <x v="1"/>
    <s v="East-Eve"/>
    <n v="34.300000000000182"/>
    <n v="58005.600000000006"/>
    <n v="548.80000000000291"/>
  </r>
  <r>
    <n v="1005"/>
    <x v="116"/>
    <x v="3"/>
    <x v="0"/>
    <n v="833.64"/>
    <n v="2"/>
    <x v="2"/>
    <n v="1392.15"/>
    <n v="1448.5400000000002"/>
    <s v="Returning"/>
    <n v="0.02"/>
    <x v="1"/>
    <x v="1"/>
    <s v="North-Eve"/>
    <n v="56.3900000000001"/>
    <n v="2897.0800000000004"/>
    <n v="112.7800000000002"/>
  </r>
  <r>
    <n v="1035"/>
    <x v="133"/>
    <x v="1"/>
    <x v="2"/>
    <n v="3817.14"/>
    <n v="30"/>
    <x v="3"/>
    <n v="3813.62"/>
    <n v="3839.72"/>
    <s v="New"/>
    <n v="0.21"/>
    <x v="2"/>
    <x v="0"/>
    <s v="South-David"/>
    <n v="26.099999999999909"/>
    <n v="115191.59999999999"/>
    <n v="782.99999999999727"/>
  </r>
  <r>
    <n v="1087"/>
    <x v="284"/>
    <x v="2"/>
    <x v="3"/>
    <n v="8057.76"/>
    <n v="20"/>
    <x v="0"/>
    <n v="3625.94"/>
    <n v="3880.53"/>
    <s v="New"/>
    <n v="0.24"/>
    <x v="1"/>
    <x v="0"/>
    <s v="East-Charlie"/>
    <n v="254.59000000000015"/>
    <n v="77610.600000000006"/>
    <n v="5091.8000000000029"/>
  </r>
  <r>
    <n v="1093"/>
    <x v="293"/>
    <x v="0"/>
    <x v="2"/>
    <n v="4391.38"/>
    <n v="38"/>
    <x v="1"/>
    <n v="86.59"/>
    <n v="390.89"/>
    <s v="Returning"/>
    <n v="0.25"/>
    <x v="2"/>
    <x v="0"/>
    <s v="South-Bob"/>
    <n v="304.29999999999995"/>
    <n v="14853.82"/>
    <n v="11563.399999999998"/>
  </r>
  <r>
    <n v="1075"/>
    <x v="256"/>
    <x v="2"/>
    <x v="0"/>
    <n v="9972.11"/>
    <n v="28"/>
    <x v="2"/>
    <n v="2570.2199999999998"/>
    <n v="2610.8399999999997"/>
    <s v="Returning"/>
    <n v="0.27"/>
    <x v="1"/>
    <x v="1"/>
    <s v="North-Charlie"/>
    <n v="40.619999999999891"/>
    <n v="73103.51999999999"/>
    <n v="1137.3599999999969"/>
  </r>
  <r>
    <n v="1018"/>
    <x v="277"/>
    <x v="1"/>
    <x v="3"/>
    <n v="5634.69"/>
    <n v="25"/>
    <x v="0"/>
    <n v="739.63"/>
    <n v="1103.03"/>
    <s v="New"/>
    <n v="0.26"/>
    <x v="1"/>
    <x v="1"/>
    <s v="East-David"/>
    <n v="363.4"/>
    <n v="27575.75"/>
    <n v="9085"/>
  </r>
  <r>
    <n v="1076"/>
    <x v="210"/>
    <x v="3"/>
    <x v="1"/>
    <n v="3279.51"/>
    <n v="32"/>
    <x v="2"/>
    <n v="4337.82"/>
    <n v="4460.71"/>
    <s v="Returning"/>
    <n v="0.3"/>
    <x v="0"/>
    <x v="1"/>
    <s v="West-Eve"/>
    <n v="122.89000000000033"/>
    <n v="142742.72"/>
    <n v="3932.4800000000105"/>
  </r>
  <r>
    <n v="1009"/>
    <x v="103"/>
    <x v="2"/>
    <x v="2"/>
    <n v="2279.1"/>
    <n v="10"/>
    <x v="2"/>
    <n v="4364.3500000000004"/>
    <n v="4710.1000000000004"/>
    <s v="New"/>
    <n v="7.0000000000000007E-2"/>
    <x v="2"/>
    <x v="0"/>
    <s v="South-Charlie"/>
    <n v="345.75"/>
    <n v="47101"/>
    <n v="3457.5"/>
  </r>
  <r>
    <n v="1074"/>
    <x v="79"/>
    <x v="3"/>
    <x v="0"/>
    <n v="3570.15"/>
    <n v="42"/>
    <x v="0"/>
    <n v="2120.81"/>
    <n v="2611.94"/>
    <s v="Returning"/>
    <n v="0.23"/>
    <x v="0"/>
    <x v="0"/>
    <s v="North-Eve"/>
    <n v="491.13000000000011"/>
    <n v="109701.48"/>
    <n v="20627.460000000006"/>
  </r>
  <r>
    <n v="1058"/>
    <x v="294"/>
    <x v="3"/>
    <x v="2"/>
    <n v="3788.08"/>
    <n v="40"/>
    <x v="0"/>
    <n v="2249.7600000000002"/>
    <n v="2598.4"/>
    <s v="Returning"/>
    <n v="0.18"/>
    <x v="2"/>
    <x v="1"/>
    <s v="South-Eve"/>
    <n v="348.63999999999987"/>
    <n v="103936"/>
    <n v="13945.599999999995"/>
  </r>
  <r>
    <n v="1017"/>
    <x v="295"/>
    <x v="4"/>
    <x v="3"/>
    <n v="780.27"/>
    <n v="33"/>
    <x v="1"/>
    <n v="1551.25"/>
    <n v="1994.01"/>
    <s v="Returning"/>
    <n v="0.08"/>
    <x v="0"/>
    <x v="0"/>
    <s v="East-Alice"/>
    <n v="442.76"/>
    <n v="65802.33"/>
    <n v="14611.08"/>
  </r>
  <r>
    <n v="1007"/>
    <x v="237"/>
    <x v="2"/>
    <x v="3"/>
    <n v="3758.78"/>
    <n v="13"/>
    <x v="2"/>
    <n v="3597.2"/>
    <n v="4071.8199999999997"/>
    <s v="Returning"/>
    <n v="0.28999999999999998"/>
    <x v="1"/>
    <x v="0"/>
    <s v="East-Charlie"/>
    <n v="474.61999999999989"/>
    <n v="52933.659999999996"/>
    <n v="6170.0599999999986"/>
  </r>
  <r>
    <n v="1046"/>
    <x v="91"/>
    <x v="2"/>
    <x v="1"/>
    <n v="4695.96"/>
    <n v="41"/>
    <x v="2"/>
    <n v="1825.37"/>
    <n v="2073.88"/>
    <s v="Returning"/>
    <n v="0.27"/>
    <x v="0"/>
    <x v="1"/>
    <s v="West-Charlie"/>
    <n v="248.51000000000022"/>
    <n v="85029.08"/>
    <n v="10188.910000000009"/>
  </r>
  <r>
    <n v="1013"/>
    <x v="296"/>
    <x v="3"/>
    <x v="0"/>
    <n v="7255.1"/>
    <n v="42"/>
    <x v="0"/>
    <n v="1375.57"/>
    <n v="1729.71"/>
    <s v="New"/>
    <n v="0.04"/>
    <x v="0"/>
    <x v="0"/>
    <s v="North-Eve"/>
    <n v="354.1400000000001"/>
    <n v="72647.820000000007"/>
    <n v="14873.880000000005"/>
  </r>
  <r>
    <n v="1040"/>
    <x v="203"/>
    <x v="1"/>
    <x v="0"/>
    <n v="6601.62"/>
    <n v="47"/>
    <x v="3"/>
    <n v="2189.54"/>
    <n v="2617"/>
    <s v="New"/>
    <n v="0.01"/>
    <x v="1"/>
    <x v="0"/>
    <s v="North-David"/>
    <n v="427.46000000000004"/>
    <n v="122999"/>
    <n v="20090.620000000003"/>
  </r>
  <r>
    <n v="1042"/>
    <x v="127"/>
    <x v="4"/>
    <x v="1"/>
    <n v="7116.78"/>
    <n v="37"/>
    <x v="0"/>
    <n v="502.86"/>
    <n v="687.6"/>
    <s v="Returning"/>
    <n v="0.21"/>
    <x v="0"/>
    <x v="0"/>
    <s v="West-Alice"/>
    <n v="184.74"/>
    <n v="25441.200000000001"/>
    <n v="6835.38"/>
  </r>
  <r>
    <n v="1009"/>
    <x v="157"/>
    <x v="3"/>
    <x v="1"/>
    <n v="182.8"/>
    <n v="16"/>
    <x v="2"/>
    <n v="3745.69"/>
    <n v="3883.77"/>
    <s v="Returning"/>
    <n v="0.18"/>
    <x v="1"/>
    <x v="1"/>
    <s v="West-Eve"/>
    <n v="138.07999999999993"/>
    <n v="62140.32"/>
    <n v="2209.2799999999988"/>
  </r>
  <r>
    <n v="1050"/>
    <x v="28"/>
    <x v="0"/>
    <x v="0"/>
    <n v="2254.91"/>
    <n v="45"/>
    <x v="0"/>
    <n v="112.35"/>
    <n v="586.17999999999995"/>
    <s v="Returning"/>
    <n v="0.28000000000000003"/>
    <x v="2"/>
    <x v="1"/>
    <s v="North-Bob"/>
    <n v="473.82999999999993"/>
    <n v="26378.1"/>
    <n v="21322.35"/>
  </r>
  <r>
    <n v="1027"/>
    <x v="221"/>
    <x v="0"/>
    <x v="2"/>
    <n v="6650.67"/>
    <n v="22"/>
    <x v="1"/>
    <n v="3240.2"/>
    <n v="3606.0899999999997"/>
    <s v="New"/>
    <n v="7.0000000000000007E-2"/>
    <x v="0"/>
    <x v="0"/>
    <s v="South-Bob"/>
    <n v="365.88999999999987"/>
    <n v="79333.98"/>
    <n v="8049.5799999999972"/>
  </r>
  <r>
    <n v="1066"/>
    <x v="11"/>
    <x v="4"/>
    <x v="2"/>
    <n v="4891.49"/>
    <n v="20"/>
    <x v="3"/>
    <n v="955.18"/>
    <n v="1072.82"/>
    <s v="New"/>
    <n v="0.03"/>
    <x v="1"/>
    <x v="1"/>
    <s v="South-Alice"/>
    <n v="117.63999999999999"/>
    <n v="21456.399999999998"/>
    <n v="2352.7999999999997"/>
  </r>
  <r>
    <n v="1005"/>
    <x v="136"/>
    <x v="1"/>
    <x v="1"/>
    <n v="152.6"/>
    <n v="43"/>
    <x v="0"/>
    <n v="1200.4000000000001"/>
    <n v="1430.45"/>
    <s v="New"/>
    <n v="0.08"/>
    <x v="1"/>
    <x v="1"/>
    <s v="West-David"/>
    <n v="230.04999999999995"/>
    <n v="61509.35"/>
    <n v="9892.1499999999978"/>
  </r>
  <r>
    <n v="1029"/>
    <x v="276"/>
    <x v="3"/>
    <x v="2"/>
    <n v="8064.5"/>
    <n v="27"/>
    <x v="1"/>
    <n v="3196.38"/>
    <n v="3596.6400000000003"/>
    <s v="New"/>
    <n v="0.01"/>
    <x v="0"/>
    <x v="1"/>
    <s v="South-Eve"/>
    <n v="400.26000000000022"/>
    <n v="97109.280000000013"/>
    <n v="10807.020000000006"/>
  </r>
  <r>
    <n v="1037"/>
    <x v="230"/>
    <x v="2"/>
    <x v="0"/>
    <n v="7750.81"/>
    <n v="41"/>
    <x v="2"/>
    <n v="4965.07"/>
    <n v="5243.13"/>
    <s v="New"/>
    <n v="0.01"/>
    <x v="2"/>
    <x v="0"/>
    <s v="North-Charlie"/>
    <n v="278.0600000000004"/>
    <n v="214968.33000000002"/>
    <n v="11400.460000000017"/>
  </r>
  <r>
    <n v="1038"/>
    <x v="32"/>
    <x v="4"/>
    <x v="3"/>
    <n v="5529.35"/>
    <n v="16"/>
    <x v="0"/>
    <n v="3899.7"/>
    <n v="4228.18"/>
    <s v="New"/>
    <n v="0.27"/>
    <x v="0"/>
    <x v="1"/>
    <s v="East-Alice"/>
    <n v="328.48000000000047"/>
    <n v="67650.880000000005"/>
    <n v="5255.6800000000076"/>
  </r>
  <r>
    <n v="1083"/>
    <x v="170"/>
    <x v="1"/>
    <x v="3"/>
    <n v="757.99"/>
    <n v="34"/>
    <x v="2"/>
    <n v="1167.9100000000001"/>
    <n v="1547.2600000000002"/>
    <s v="New"/>
    <n v="0.11"/>
    <x v="1"/>
    <x v="0"/>
    <s v="East-David"/>
    <n v="379.35000000000014"/>
    <n v="52606.840000000011"/>
    <n v="12897.900000000005"/>
  </r>
  <r>
    <n v="1008"/>
    <x v="70"/>
    <x v="2"/>
    <x v="2"/>
    <n v="7688.5"/>
    <n v="32"/>
    <x v="1"/>
    <n v="921.32"/>
    <n v="1236.0999999999999"/>
    <s v="New"/>
    <n v="0.12"/>
    <x v="2"/>
    <x v="0"/>
    <s v="South-Charlie"/>
    <n v="314.77999999999986"/>
    <n v="39555.199999999997"/>
    <n v="10072.959999999995"/>
  </r>
  <r>
    <n v="1065"/>
    <x v="11"/>
    <x v="0"/>
    <x v="1"/>
    <n v="5878.76"/>
    <n v="26"/>
    <x v="2"/>
    <n v="4337.8500000000004"/>
    <n v="4612.4900000000007"/>
    <s v="Returning"/>
    <n v="0.01"/>
    <x v="0"/>
    <x v="1"/>
    <s v="West-Bob"/>
    <n v="274.64000000000033"/>
    <n v="119924.74000000002"/>
    <n v="7140.6400000000085"/>
  </r>
  <r>
    <n v="1086"/>
    <x v="297"/>
    <x v="0"/>
    <x v="1"/>
    <n v="7841.4"/>
    <n v="25"/>
    <x v="1"/>
    <n v="2248.71"/>
    <n v="2626.02"/>
    <s v="New"/>
    <n v="0.08"/>
    <x v="1"/>
    <x v="0"/>
    <s v="West-Bob"/>
    <n v="377.30999999999995"/>
    <n v="65650.5"/>
    <n v="9432.7499999999982"/>
  </r>
  <r>
    <n v="1017"/>
    <x v="61"/>
    <x v="2"/>
    <x v="1"/>
    <n v="7542.3"/>
    <n v="2"/>
    <x v="1"/>
    <n v="728.41"/>
    <n v="1094.92"/>
    <s v="New"/>
    <n v="0.24"/>
    <x v="0"/>
    <x v="1"/>
    <s v="West-Charlie"/>
    <n v="366.5100000000001"/>
    <n v="2189.84"/>
    <n v="733.02000000000021"/>
  </r>
  <r>
    <n v="1071"/>
    <x v="90"/>
    <x v="4"/>
    <x v="1"/>
    <n v="8049.72"/>
    <n v="12"/>
    <x v="1"/>
    <n v="4317.95"/>
    <n v="4636.59"/>
    <s v="New"/>
    <n v="0.18"/>
    <x v="2"/>
    <x v="1"/>
    <s v="West-Alice"/>
    <n v="318.64000000000033"/>
    <n v="55639.08"/>
    <n v="3823.6800000000039"/>
  </r>
  <r>
    <n v="1089"/>
    <x v="175"/>
    <x v="0"/>
    <x v="1"/>
    <n v="5228.28"/>
    <n v="40"/>
    <x v="0"/>
    <n v="4089.66"/>
    <n v="4275.96"/>
    <s v="New"/>
    <n v="0.23"/>
    <x v="2"/>
    <x v="0"/>
    <s v="West-Bob"/>
    <n v="186.30000000000018"/>
    <n v="171038.4"/>
    <n v="7452.0000000000073"/>
  </r>
  <r>
    <n v="1045"/>
    <x v="272"/>
    <x v="3"/>
    <x v="2"/>
    <n v="1489.21"/>
    <n v="9"/>
    <x v="2"/>
    <n v="4920.34"/>
    <n v="5129.1900000000005"/>
    <s v="Returning"/>
    <n v="0.13"/>
    <x v="2"/>
    <x v="0"/>
    <s v="South-Eve"/>
    <n v="208.85000000000036"/>
    <n v="46162.710000000006"/>
    <n v="1879.6500000000033"/>
  </r>
  <r>
    <n v="1004"/>
    <x v="59"/>
    <x v="2"/>
    <x v="3"/>
    <n v="6744.46"/>
    <n v="12"/>
    <x v="2"/>
    <n v="4553.2299999999996"/>
    <n v="5038.74"/>
    <s v="New"/>
    <n v="0.09"/>
    <x v="2"/>
    <x v="1"/>
    <s v="East-Charlie"/>
    <n v="485.51000000000022"/>
    <n v="60464.88"/>
    <n v="5826.1200000000026"/>
  </r>
  <r>
    <n v="1036"/>
    <x v="298"/>
    <x v="2"/>
    <x v="3"/>
    <n v="6242.69"/>
    <n v="26"/>
    <x v="3"/>
    <n v="4266.3599999999997"/>
    <n v="4331.4299999999994"/>
    <s v="Returning"/>
    <n v="0.14000000000000001"/>
    <x v="2"/>
    <x v="1"/>
    <s v="East-Charlie"/>
    <n v="65.069999999999709"/>
    <n v="112617.17999999998"/>
    <n v="1691.8199999999924"/>
  </r>
  <r>
    <n v="1070"/>
    <x v="94"/>
    <x v="0"/>
    <x v="2"/>
    <n v="7448.31"/>
    <n v="9"/>
    <x v="3"/>
    <n v="310.24"/>
    <n v="451.81"/>
    <s v="Returning"/>
    <n v="0.1"/>
    <x v="0"/>
    <x v="1"/>
    <s v="South-Bob"/>
    <n v="141.57"/>
    <n v="4066.29"/>
    <n v="1274.1299999999999"/>
  </r>
  <r>
    <n v="1031"/>
    <x v="272"/>
    <x v="4"/>
    <x v="1"/>
    <n v="1781.82"/>
    <n v="10"/>
    <x v="3"/>
    <n v="566.86"/>
    <n v="818.14"/>
    <s v="Returning"/>
    <n v="0.25"/>
    <x v="2"/>
    <x v="1"/>
    <s v="West-Alice"/>
    <n v="251.27999999999997"/>
    <n v="8181.4"/>
    <n v="2512.7999999999997"/>
  </r>
  <r>
    <n v="1019"/>
    <x v="299"/>
    <x v="3"/>
    <x v="2"/>
    <n v="2030.25"/>
    <n v="32"/>
    <x v="3"/>
    <n v="2866.47"/>
    <n v="3286.47"/>
    <s v="New"/>
    <n v="0.09"/>
    <x v="2"/>
    <x v="0"/>
    <s v="South-Eve"/>
    <n v="420"/>
    <n v="105167.03999999999"/>
    <n v="13440"/>
  </r>
  <r>
    <n v="1061"/>
    <x v="227"/>
    <x v="4"/>
    <x v="3"/>
    <n v="8915.0499999999993"/>
    <n v="34"/>
    <x v="2"/>
    <n v="2680.82"/>
    <n v="2771.02"/>
    <s v="New"/>
    <n v="0.2"/>
    <x v="1"/>
    <x v="0"/>
    <s v="East-Alice"/>
    <n v="90.199999999999818"/>
    <n v="94214.68"/>
    <n v="3066.7999999999938"/>
  </r>
  <r>
    <n v="1054"/>
    <x v="194"/>
    <x v="1"/>
    <x v="0"/>
    <n v="7524.78"/>
    <n v="48"/>
    <x v="1"/>
    <n v="2316.92"/>
    <n v="2462.63"/>
    <s v="New"/>
    <n v="0.04"/>
    <x v="2"/>
    <x v="0"/>
    <s v="North-David"/>
    <n v="145.71000000000004"/>
    <n v="118206.24"/>
    <n v="6994.0800000000017"/>
  </r>
  <r>
    <n v="1039"/>
    <x v="32"/>
    <x v="1"/>
    <x v="2"/>
    <n v="9091.4599999999991"/>
    <n v="20"/>
    <x v="1"/>
    <n v="2014.11"/>
    <n v="2056.35"/>
    <s v="Returning"/>
    <n v="0.21"/>
    <x v="1"/>
    <x v="1"/>
    <s v="South-David"/>
    <n v="42.240000000000009"/>
    <n v="41127"/>
    <n v="844.80000000000018"/>
  </r>
  <r>
    <n v="1091"/>
    <x v="274"/>
    <x v="0"/>
    <x v="1"/>
    <n v="7611.28"/>
    <n v="39"/>
    <x v="0"/>
    <n v="2184.4899999999998"/>
    <n v="2540.4199999999996"/>
    <s v="Returning"/>
    <n v="0.27"/>
    <x v="1"/>
    <x v="0"/>
    <s v="West-Bob"/>
    <n v="355.92999999999984"/>
    <n v="99076.37999999999"/>
    <n v="13881.269999999993"/>
  </r>
  <r>
    <n v="1074"/>
    <x v="185"/>
    <x v="0"/>
    <x v="3"/>
    <n v="6011.84"/>
    <n v="2"/>
    <x v="1"/>
    <n v="2868.02"/>
    <n v="2994.74"/>
    <s v="Returning"/>
    <n v="0.18"/>
    <x v="1"/>
    <x v="0"/>
    <s v="East-Bob"/>
    <n v="126.7199999999998"/>
    <n v="5989.48"/>
    <n v="253.4399999999996"/>
  </r>
  <r>
    <n v="1090"/>
    <x v="24"/>
    <x v="0"/>
    <x v="3"/>
    <n v="6575.91"/>
    <n v="1"/>
    <x v="2"/>
    <n v="60.28"/>
    <n v="260.73"/>
    <s v="Returning"/>
    <n v="0.17"/>
    <x v="0"/>
    <x v="0"/>
    <s v="East-Bob"/>
    <n v="200.45000000000002"/>
    <n v="260.73"/>
    <n v="200.45000000000002"/>
  </r>
  <r>
    <n v="1019"/>
    <x v="89"/>
    <x v="1"/>
    <x v="3"/>
    <n v="8902.3700000000008"/>
    <n v="36"/>
    <x v="2"/>
    <n v="1340.51"/>
    <n v="1567.92"/>
    <s v="New"/>
    <n v="0.28999999999999998"/>
    <x v="0"/>
    <x v="0"/>
    <s v="East-David"/>
    <n v="227.41000000000008"/>
    <n v="56445.120000000003"/>
    <n v="8186.7600000000029"/>
  </r>
  <r>
    <n v="1039"/>
    <x v="137"/>
    <x v="4"/>
    <x v="3"/>
    <n v="5830.19"/>
    <n v="24"/>
    <x v="2"/>
    <n v="2615.48"/>
    <n v="3062.2200000000003"/>
    <s v="New"/>
    <n v="0.19"/>
    <x v="1"/>
    <x v="1"/>
    <s v="East-Alice"/>
    <n v="446.74000000000024"/>
    <n v="73493.279999999999"/>
    <n v="10721.760000000006"/>
  </r>
  <r>
    <n v="1067"/>
    <x v="300"/>
    <x v="4"/>
    <x v="1"/>
    <n v="6360.67"/>
    <n v="27"/>
    <x v="0"/>
    <n v="3624.97"/>
    <n v="3836.52"/>
    <s v="New"/>
    <n v="0.08"/>
    <x v="0"/>
    <x v="0"/>
    <s v="West-Alice"/>
    <n v="211.55000000000018"/>
    <n v="103586.04"/>
    <n v="5711.8500000000049"/>
  </r>
  <r>
    <n v="1045"/>
    <x v="203"/>
    <x v="0"/>
    <x v="0"/>
    <n v="1649.12"/>
    <n v="2"/>
    <x v="3"/>
    <n v="912.08"/>
    <n v="993.24"/>
    <s v="Returning"/>
    <n v="0.09"/>
    <x v="2"/>
    <x v="0"/>
    <s v="North-Bob"/>
    <n v="81.159999999999968"/>
    <n v="1986.48"/>
    <n v="162.31999999999994"/>
  </r>
  <r>
    <n v="1013"/>
    <x v="301"/>
    <x v="3"/>
    <x v="3"/>
    <n v="4791.82"/>
    <n v="31"/>
    <x v="1"/>
    <n v="2757.06"/>
    <n v="3023.97"/>
    <s v="Returning"/>
    <n v="0.21"/>
    <x v="0"/>
    <x v="0"/>
    <s v="East-Eve"/>
    <n v="266.90999999999985"/>
    <n v="93743.069999999992"/>
    <n v="8274.2099999999955"/>
  </r>
  <r>
    <n v="1092"/>
    <x v="32"/>
    <x v="4"/>
    <x v="2"/>
    <n v="7192.33"/>
    <n v="14"/>
    <x v="2"/>
    <n v="3586.58"/>
    <n v="4068.43"/>
    <s v="New"/>
    <n v="0.22"/>
    <x v="2"/>
    <x v="0"/>
    <s v="South-Alice"/>
    <n v="481.84999999999991"/>
    <n v="56958.02"/>
    <n v="6745.8999999999987"/>
  </r>
  <r>
    <n v="1058"/>
    <x v="265"/>
    <x v="1"/>
    <x v="0"/>
    <n v="2782.33"/>
    <n v="2"/>
    <x v="2"/>
    <n v="2250.91"/>
    <n v="2558.6799999999998"/>
    <s v="New"/>
    <n v="0.09"/>
    <x v="2"/>
    <x v="1"/>
    <s v="North-David"/>
    <n v="307.77"/>
    <n v="5117.3599999999997"/>
    <n v="615.54"/>
  </r>
  <r>
    <n v="1020"/>
    <x v="32"/>
    <x v="2"/>
    <x v="3"/>
    <n v="2102.3200000000002"/>
    <n v="29"/>
    <x v="3"/>
    <n v="184.05"/>
    <n v="675.91000000000008"/>
    <s v="Returning"/>
    <n v="0.1"/>
    <x v="0"/>
    <x v="1"/>
    <s v="East-Charlie"/>
    <n v="491.86000000000007"/>
    <n v="19601.390000000003"/>
    <n v="14263.940000000002"/>
  </r>
  <r>
    <n v="1092"/>
    <x v="171"/>
    <x v="2"/>
    <x v="0"/>
    <n v="3206.89"/>
    <n v="15"/>
    <x v="2"/>
    <n v="2273.88"/>
    <n v="2696.02"/>
    <s v="New"/>
    <n v="0.3"/>
    <x v="0"/>
    <x v="0"/>
    <s v="North-Charlie"/>
    <n v="422.13999999999987"/>
    <n v="40440.300000000003"/>
    <n v="6332.0999999999985"/>
  </r>
  <r>
    <n v="1072"/>
    <x v="104"/>
    <x v="2"/>
    <x v="2"/>
    <n v="2490.86"/>
    <n v="12"/>
    <x v="1"/>
    <n v="1517.4"/>
    <n v="1545.02"/>
    <s v="New"/>
    <n v="0.03"/>
    <x v="1"/>
    <x v="1"/>
    <s v="South-Charlie"/>
    <n v="27.619999999999891"/>
    <n v="18540.239999999998"/>
    <n v="331.43999999999869"/>
  </r>
  <r>
    <n v="1061"/>
    <x v="15"/>
    <x v="3"/>
    <x v="3"/>
    <n v="2227.64"/>
    <n v="37"/>
    <x v="0"/>
    <n v="4651.7700000000004"/>
    <n v="4984.3900000000003"/>
    <s v="Returning"/>
    <n v="0.12"/>
    <x v="0"/>
    <x v="1"/>
    <s v="East-Eve"/>
    <n v="332.61999999999989"/>
    <n v="184422.43000000002"/>
    <n v="12306.939999999995"/>
  </r>
  <r>
    <n v="1039"/>
    <x v="290"/>
    <x v="0"/>
    <x v="2"/>
    <n v="4306.0200000000004"/>
    <n v="28"/>
    <x v="2"/>
    <n v="666.84"/>
    <n v="817.36"/>
    <s v="Returning"/>
    <n v="0.02"/>
    <x v="0"/>
    <x v="1"/>
    <s v="South-Bob"/>
    <n v="150.51999999999998"/>
    <n v="22886.080000000002"/>
    <n v="4214.5599999999995"/>
  </r>
  <r>
    <n v="1001"/>
    <x v="133"/>
    <x v="1"/>
    <x v="1"/>
    <n v="9087.6"/>
    <n v="20"/>
    <x v="1"/>
    <n v="3279.76"/>
    <n v="3563.9700000000003"/>
    <s v="Returning"/>
    <n v="0.25"/>
    <x v="0"/>
    <x v="1"/>
    <s v="West-David"/>
    <n v="284.21000000000004"/>
    <n v="71279.400000000009"/>
    <n v="5684.2000000000007"/>
  </r>
  <r>
    <n v="1003"/>
    <x v="215"/>
    <x v="3"/>
    <x v="3"/>
    <n v="5119.8900000000003"/>
    <n v="39"/>
    <x v="2"/>
    <n v="310.95999999999998"/>
    <n v="457.84"/>
    <s v="New"/>
    <n v="0.03"/>
    <x v="2"/>
    <x v="0"/>
    <s v="East-Eve"/>
    <n v="146.88"/>
    <n v="17855.759999999998"/>
    <n v="5728.32"/>
  </r>
  <r>
    <n v="1077"/>
    <x v="302"/>
    <x v="1"/>
    <x v="3"/>
    <n v="1960.41"/>
    <n v="24"/>
    <x v="3"/>
    <n v="2258.54"/>
    <n v="2439.4899999999998"/>
    <s v="Returning"/>
    <n v="0.2"/>
    <x v="2"/>
    <x v="1"/>
    <s v="East-David"/>
    <n v="180.94999999999982"/>
    <n v="58547.759999999995"/>
    <n v="4342.7999999999956"/>
  </r>
  <r>
    <n v="1092"/>
    <x v="74"/>
    <x v="1"/>
    <x v="3"/>
    <n v="862.02"/>
    <n v="21"/>
    <x v="2"/>
    <n v="2792.2"/>
    <n v="3254.5499999999997"/>
    <s v="New"/>
    <n v="0.02"/>
    <x v="2"/>
    <x v="1"/>
    <s v="East-David"/>
    <n v="462.34999999999991"/>
    <n v="68345.549999999988"/>
    <n v="9709.3499999999985"/>
  </r>
  <r>
    <n v="1062"/>
    <x v="154"/>
    <x v="0"/>
    <x v="3"/>
    <n v="6991.95"/>
    <n v="10"/>
    <x v="2"/>
    <n v="1524.88"/>
    <n v="1636.14"/>
    <s v="New"/>
    <n v="0.2"/>
    <x v="1"/>
    <x v="0"/>
    <s v="East-Bob"/>
    <n v="111.25999999999999"/>
    <n v="16361.400000000001"/>
    <n v="1112.5999999999999"/>
  </r>
  <r>
    <n v="1063"/>
    <x v="111"/>
    <x v="2"/>
    <x v="1"/>
    <n v="3889.71"/>
    <n v="46"/>
    <x v="0"/>
    <n v="2302.62"/>
    <n v="2740.93"/>
    <s v="Returning"/>
    <n v="0.25"/>
    <x v="1"/>
    <x v="0"/>
    <s v="West-Charlie"/>
    <n v="438.30999999999995"/>
    <n v="126082.78"/>
    <n v="20162.259999999998"/>
  </r>
  <r>
    <n v="1025"/>
    <x v="228"/>
    <x v="0"/>
    <x v="3"/>
    <n v="8236.1299999999992"/>
    <n v="14"/>
    <x v="3"/>
    <n v="859.59"/>
    <n v="884.51"/>
    <s v="New"/>
    <n v="0.12"/>
    <x v="1"/>
    <x v="0"/>
    <s v="East-Bob"/>
    <n v="24.919999999999959"/>
    <n v="12383.14"/>
    <n v="348.87999999999943"/>
  </r>
  <r>
    <n v="1056"/>
    <x v="228"/>
    <x v="3"/>
    <x v="0"/>
    <n v="6629.16"/>
    <n v="37"/>
    <x v="3"/>
    <n v="1555.41"/>
    <n v="1609.94"/>
    <s v="Returning"/>
    <n v="0.16"/>
    <x v="2"/>
    <x v="0"/>
    <s v="North-Eve"/>
    <n v="54.529999999999973"/>
    <n v="59567.78"/>
    <n v="2017.609999999999"/>
  </r>
  <r>
    <n v="1033"/>
    <x v="303"/>
    <x v="3"/>
    <x v="3"/>
    <n v="7982.79"/>
    <n v="18"/>
    <x v="0"/>
    <n v="3124.48"/>
    <n v="3553.27"/>
    <s v="Returning"/>
    <n v="0.12"/>
    <x v="0"/>
    <x v="1"/>
    <s v="East-Eve"/>
    <n v="428.78999999999996"/>
    <n v="63958.86"/>
    <n v="7718.2199999999993"/>
  </r>
  <r>
    <n v="1038"/>
    <x v="304"/>
    <x v="3"/>
    <x v="1"/>
    <n v="2792.27"/>
    <n v="24"/>
    <x v="2"/>
    <n v="1543.91"/>
    <n v="1862.88"/>
    <s v="New"/>
    <n v="0.09"/>
    <x v="1"/>
    <x v="0"/>
    <s v="West-Eve"/>
    <n v="318.97000000000003"/>
    <n v="44709.120000000003"/>
    <n v="7655.2800000000007"/>
  </r>
  <r>
    <n v="1006"/>
    <x v="277"/>
    <x v="0"/>
    <x v="3"/>
    <n v="6954.35"/>
    <n v="14"/>
    <x v="1"/>
    <n v="4503.7299999999996"/>
    <n v="4879.8799999999992"/>
    <s v="New"/>
    <n v="0.24"/>
    <x v="1"/>
    <x v="1"/>
    <s v="East-Bob"/>
    <n v="376.14999999999964"/>
    <n v="68318.319999999992"/>
    <n v="5266.0999999999949"/>
  </r>
  <r>
    <n v="1058"/>
    <x v="147"/>
    <x v="1"/>
    <x v="0"/>
    <n v="2714.21"/>
    <n v="34"/>
    <x v="3"/>
    <n v="3160.61"/>
    <n v="3273.2200000000003"/>
    <s v="Returning"/>
    <n v="0.08"/>
    <x v="2"/>
    <x v="1"/>
    <s v="North-David"/>
    <n v="112.61000000000013"/>
    <n v="111289.48000000001"/>
    <n v="3828.7400000000043"/>
  </r>
  <r>
    <n v="1044"/>
    <x v="305"/>
    <x v="1"/>
    <x v="1"/>
    <n v="9396.7800000000007"/>
    <n v="12"/>
    <x v="3"/>
    <n v="2221.31"/>
    <n v="2494.48"/>
    <s v="Returning"/>
    <n v="0.22"/>
    <x v="1"/>
    <x v="0"/>
    <s v="West-David"/>
    <n v="273.17000000000007"/>
    <n v="29933.760000000002"/>
    <n v="3278.0400000000009"/>
  </r>
  <r>
    <n v="1045"/>
    <x v="306"/>
    <x v="4"/>
    <x v="1"/>
    <n v="6400.11"/>
    <n v="22"/>
    <x v="2"/>
    <n v="241.85"/>
    <n v="613.09"/>
    <s v="Returning"/>
    <n v="0.06"/>
    <x v="0"/>
    <x v="0"/>
    <s v="West-Alice"/>
    <n v="371.24"/>
    <n v="13487.980000000001"/>
    <n v="8167.2800000000007"/>
  </r>
  <r>
    <n v="1032"/>
    <x v="252"/>
    <x v="3"/>
    <x v="0"/>
    <n v="3312.67"/>
    <n v="6"/>
    <x v="2"/>
    <n v="2522.7600000000002"/>
    <n v="2840.1400000000003"/>
    <s v="Returning"/>
    <n v="7.0000000000000007E-2"/>
    <x v="2"/>
    <x v="1"/>
    <s v="North-Eve"/>
    <n v="317.38000000000011"/>
    <n v="17040.840000000004"/>
    <n v="1904.2800000000007"/>
  </r>
  <r>
    <n v="1045"/>
    <x v="276"/>
    <x v="1"/>
    <x v="0"/>
    <n v="2768.17"/>
    <n v="36"/>
    <x v="3"/>
    <n v="3835.64"/>
    <n v="4076.77"/>
    <s v="Returning"/>
    <n v="0.1"/>
    <x v="2"/>
    <x v="1"/>
    <s v="North-David"/>
    <n v="241.13000000000011"/>
    <n v="146763.72"/>
    <n v="8680.6800000000039"/>
  </r>
  <r>
    <n v="1061"/>
    <x v="64"/>
    <x v="4"/>
    <x v="0"/>
    <n v="1990.17"/>
    <n v="45"/>
    <x v="2"/>
    <n v="1364.51"/>
    <n v="1844.8"/>
    <s v="Returning"/>
    <n v="0.18"/>
    <x v="0"/>
    <x v="0"/>
    <s v="North-Alice"/>
    <n v="480.28999999999996"/>
    <n v="83016"/>
    <n v="21613.05"/>
  </r>
  <r>
    <n v="1047"/>
    <x v="307"/>
    <x v="1"/>
    <x v="0"/>
    <n v="6976.95"/>
    <n v="36"/>
    <x v="1"/>
    <n v="4043.53"/>
    <n v="4384.8500000000004"/>
    <s v="New"/>
    <n v="0.14000000000000001"/>
    <x v="0"/>
    <x v="0"/>
    <s v="North-David"/>
    <n v="341.32000000000016"/>
    <n v="157854.6"/>
    <n v="12287.520000000006"/>
  </r>
  <r>
    <n v="1021"/>
    <x v="308"/>
    <x v="3"/>
    <x v="0"/>
    <n v="2265.2800000000002"/>
    <n v="22"/>
    <x v="3"/>
    <n v="1296.44"/>
    <n v="1751.24"/>
    <s v="New"/>
    <n v="0.22"/>
    <x v="0"/>
    <x v="0"/>
    <s v="North-Eve"/>
    <n v="454.79999999999995"/>
    <n v="38527.279999999999"/>
    <n v="10005.599999999999"/>
  </r>
  <r>
    <n v="1080"/>
    <x v="216"/>
    <x v="2"/>
    <x v="1"/>
    <n v="5993.5"/>
    <n v="14"/>
    <x v="1"/>
    <n v="4127.54"/>
    <n v="4495.13"/>
    <s v="New"/>
    <n v="0.06"/>
    <x v="1"/>
    <x v="1"/>
    <s v="West-Charlie"/>
    <n v="367.59000000000015"/>
    <n v="62931.82"/>
    <n v="5146.260000000002"/>
  </r>
  <r>
    <n v="1085"/>
    <x v="211"/>
    <x v="3"/>
    <x v="1"/>
    <n v="2719.89"/>
    <n v="16"/>
    <x v="1"/>
    <n v="472.08"/>
    <n v="842.46"/>
    <s v="New"/>
    <n v="0"/>
    <x v="0"/>
    <x v="1"/>
    <s v="West-Eve"/>
    <n v="370.38000000000005"/>
    <n v="13479.36"/>
    <n v="5926.0800000000008"/>
  </r>
  <r>
    <n v="1075"/>
    <x v="48"/>
    <x v="0"/>
    <x v="3"/>
    <n v="6653.49"/>
    <n v="36"/>
    <x v="2"/>
    <n v="4337.6099999999997"/>
    <n v="4386.82"/>
    <s v="Returning"/>
    <n v="0.23"/>
    <x v="2"/>
    <x v="0"/>
    <s v="East-Bob"/>
    <n v="49.210000000000036"/>
    <n v="157925.51999999999"/>
    <n v="1771.5600000000013"/>
  </r>
  <r>
    <n v="1036"/>
    <x v="235"/>
    <x v="1"/>
    <x v="3"/>
    <n v="8167.9"/>
    <n v="25"/>
    <x v="1"/>
    <n v="2520.9699999999998"/>
    <n v="2707.1099999999997"/>
    <s v="New"/>
    <n v="0.25"/>
    <x v="0"/>
    <x v="1"/>
    <s v="East-David"/>
    <n v="186.13999999999987"/>
    <n v="67677.749999999985"/>
    <n v="4653.4999999999964"/>
  </r>
  <r>
    <n v="1099"/>
    <x v="305"/>
    <x v="1"/>
    <x v="2"/>
    <n v="7802.45"/>
    <n v="32"/>
    <x v="2"/>
    <n v="1517.86"/>
    <n v="1948.46"/>
    <s v="New"/>
    <n v="0.02"/>
    <x v="2"/>
    <x v="0"/>
    <s v="South-David"/>
    <n v="430.60000000000014"/>
    <n v="62350.720000000001"/>
    <n v="13779.200000000004"/>
  </r>
  <r>
    <n v="1019"/>
    <x v="309"/>
    <x v="0"/>
    <x v="3"/>
    <n v="7632.43"/>
    <n v="33"/>
    <x v="0"/>
    <n v="1362.31"/>
    <n v="1486.29"/>
    <s v="Returning"/>
    <n v="0.18"/>
    <x v="2"/>
    <x v="1"/>
    <s v="East-Bob"/>
    <n v="123.98000000000002"/>
    <n v="49047.57"/>
    <n v="4091.3400000000006"/>
  </r>
  <r>
    <n v="1020"/>
    <x v="206"/>
    <x v="0"/>
    <x v="3"/>
    <n v="1958.45"/>
    <n v="45"/>
    <x v="2"/>
    <n v="2188.4499999999998"/>
    <n v="2255.0499999999997"/>
    <s v="New"/>
    <n v="0.11"/>
    <x v="1"/>
    <x v="1"/>
    <s v="East-Bob"/>
    <n v="66.599999999999909"/>
    <n v="101477.24999999999"/>
    <n v="2996.9999999999959"/>
  </r>
  <r>
    <n v="1057"/>
    <x v="31"/>
    <x v="2"/>
    <x v="0"/>
    <n v="975.01"/>
    <n v="36"/>
    <x v="1"/>
    <n v="4995.3"/>
    <n v="5165.09"/>
    <s v="Returning"/>
    <n v="0.24"/>
    <x v="0"/>
    <x v="0"/>
    <s v="North-Charlie"/>
    <n v="169.78999999999996"/>
    <n v="185943.24"/>
    <n v="6112.4399999999987"/>
  </r>
  <r>
    <n v="1018"/>
    <x v="112"/>
    <x v="1"/>
    <x v="0"/>
    <n v="7019.59"/>
    <n v="20"/>
    <x v="0"/>
    <n v="1140.6199999999999"/>
    <n v="1258.6299999999999"/>
    <s v="Returning"/>
    <n v="0.26"/>
    <x v="1"/>
    <x v="0"/>
    <s v="North-David"/>
    <n v="118.00999999999999"/>
    <n v="25172.6"/>
    <n v="2360.1999999999998"/>
  </r>
  <r>
    <n v="1047"/>
    <x v="293"/>
    <x v="1"/>
    <x v="3"/>
    <n v="3746.64"/>
    <n v="18"/>
    <x v="2"/>
    <n v="560.91999999999996"/>
    <n v="1024.31"/>
    <s v="Returning"/>
    <n v="0.26"/>
    <x v="0"/>
    <x v="0"/>
    <s v="East-David"/>
    <n v="463.39"/>
    <n v="18437.579999999998"/>
    <n v="8341.02"/>
  </r>
  <r>
    <n v="1049"/>
    <x v="147"/>
    <x v="2"/>
    <x v="2"/>
    <n v="4380.2299999999996"/>
    <n v="38"/>
    <x v="1"/>
    <n v="2945.92"/>
    <n v="3381.2200000000003"/>
    <s v="Returning"/>
    <n v="0.23"/>
    <x v="0"/>
    <x v="1"/>
    <s v="South-Charlie"/>
    <n v="435.30000000000018"/>
    <n v="128486.36000000002"/>
    <n v="16541.400000000009"/>
  </r>
  <r>
    <n v="1014"/>
    <x v="189"/>
    <x v="4"/>
    <x v="0"/>
    <n v="408.38"/>
    <n v="3"/>
    <x v="3"/>
    <n v="2468.29"/>
    <n v="2723.13"/>
    <s v="Returning"/>
    <n v="0.08"/>
    <x v="0"/>
    <x v="1"/>
    <s v="North-Alice"/>
    <n v="254.84000000000015"/>
    <n v="8169.39"/>
    <n v="764.52000000000044"/>
  </r>
  <r>
    <n v="1015"/>
    <x v="118"/>
    <x v="2"/>
    <x v="3"/>
    <n v="2669.81"/>
    <n v="23"/>
    <x v="3"/>
    <n v="2644.77"/>
    <n v="2684.83"/>
    <s v="New"/>
    <n v="0.24"/>
    <x v="0"/>
    <x v="0"/>
    <s v="East-Charlie"/>
    <n v="40.059999999999945"/>
    <n v="61751.09"/>
    <n v="921.37999999999874"/>
  </r>
  <r>
    <n v="1031"/>
    <x v="217"/>
    <x v="3"/>
    <x v="3"/>
    <n v="433.4"/>
    <n v="32"/>
    <x v="2"/>
    <n v="3351.33"/>
    <n v="3711.47"/>
    <s v="New"/>
    <n v="0.16"/>
    <x v="0"/>
    <x v="1"/>
    <s v="East-Eve"/>
    <n v="360.13999999999987"/>
    <n v="118767.03999999999"/>
    <n v="11524.479999999996"/>
  </r>
  <r>
    <n v="1001"/>
    <x v="64"/>
    <x v="1"/>
    <x v="1"/>
    <n v="8803.94"/>
    <n v="45"/>
    <x v="2"/>
    <n v="1372.36"/>
    <n v="1687.83"/>
    <s v="New"/>
    <n v="0.02"/>
    <x v="2"/>
    <x v="0"/>
    <s v="West-David"/>
    <n v="315.47000000000003"/>
    <n v="75952.349999999991"/>
    <n v="14196.150000000001"/>
  </r>
  <r>
    <n v="1054"/>
    <x v="310"/>
    <x v="0"/>
    <x v="2"/>
    <n v="2509.63"/>
    <n v="16"/>
    <x v="3"/>
    <n v="4557.79"/>
    <n v="5043.3599999999997"/>
    <s v="Returning"/>
    <n v="0.14000000000000001"/>
    <x v="2"/>
    <x v="1"/>
    <s v="South-Bob"/>
    <n v="485.56999999999971"/>
    <n v="80693.759999999995"/>
    <n v="7769.1199999999953"/>
  </r>
  <r>
    <n v="1003"/>
    <x v="311"/>
    <x v="3"/>
    <x v="1"/>
    <n v="5617.64"/>
    <n v="5"/>
    <x v="1"/>
    <n v="2206.58"/>
    <n v="2490.4699999999998"/>
    <s v="New"/>
    <n v="0.28000000000000003"/>
    <x v="0"/>
    <x v="0"/>
    <s v="West-Eve"/>
    <n v="283.88999999999987"/>
    <n v="12452.349999999999"/>
    <n v="1419.4499999999994"/>
  </r>
  <r>
    <n v="1016"/>
    <x v="312"/>
    <x v="1"/>
    <x v="2"/>
    <n v="485.9"/>
    <n v="4"/>
    <x v="1"/>
    <n v="688.98"/>
    <n v="863.81000000000006"/>
    <s v="New"/>
    <n v="0.27"/>
    <x v="2"/>
    <x v="1"/>
    <s v="South-David"/>
    <n v="174.83000000000004"/>
    <n v="3455.2400000000002"/>
    <n v="699.32000000000016"/>
  </r>
  <r>
    <n v="1087"/>
    <x v="266"/>
    <x v="2"/>
    <x v="0"/>
    <n v="6701.79"/>
    <n v="21"/>
    <x v="1"/>
    <n v="3724.38"/>
    <n v="3988.7000000000003"/>
    <s v="New"/>
    <n v="0.03"/>
    <x v="1"/>
    <x v="1"/>
    <s v="North-Charlie"/>
    <n v="264.32000000000016"/>
    <n v="83762.700000000012"/>
    <n v="5550.720000000003"/>
  </r>
  <r>
    <n v="1057"/>
    <x v="105"/>
    <x v="3"/>
    <x v="2"/>
    <n v="3297.97"/>
    <n v="40"/>
    <x v="2"/>
    <n v="3233.37"/>
    <n v="3723.21"/>
    <s v="New"/>
    <n v="0.22"/>
    <x v="1"/>
    <x v="1"/>
    <s v="South-Eve"/>
    <n v="489.84000000000015"/>
    <n v="148928.4"/>
    <n v="19593.600000000006"/>
  </r>
  <r>
    <n v="1075"/>
    <x v="185"/>
    <x v="1"/>
    <x v="3"/>
    <n v="8989.4"/>
    <n v="14"/>
    <x v="0"/>
    <n v="1612.93"/>
    <n v="1964.15"/>
    <s v="Returning"/>
    <n v="0.24"/>
    <x v="1"/>
    <x v="1"/>
    <s v="East-David"/>
    <n v="351.22"/>
    <n v="27498.100000000002"/>
    <n v="4917.08"/>
  </r>
  <r>
    <n v="1012"/>
    <x v="73"/>
    <x v="4"/>
    <x v="3"/>
    <n v="8892.3700000000008"/>
    <n v="39"/>
    <x v="0"/>
    <n v="3126.52"/>
    <n v="3465.79"/>
    <s v="New"/>
    <n v="0.08"/>
    <x v="0"/>
    <x v="0"/>
    <s v="East-Alice"/>
    <n v="339.27"/>
    <n v="135165.81"/>
    <n v="13231.529999999999"/>
  </r>
  <r>
    <n v="1074"/>
    <x v="247"/>
    <x v="4"/>
    <x v="2"/>
    <n v="3320.38"/>
    <n v="31"/>
    <x v="0"/>
    <n v="1138.32"/>
    <n v="1266.25"/>
    <s v="Returning"/>
    <n v="0.14000000000000001"/>
    <x v="0"/>
    <x v="1"/>
    <s v="South-Alice"/>
    <n v="127.93000000000006"/>
    <n v="39253.75"/>
    <n v="3965.8300000000017"/>
  </r>
  <r>
    <n v="1096"/>
    <x v="308"/>
    <x v="0"/>
    <x v="2"/>
    <n v="9019.51"/>
    <n v="14"/>
    <x v="0"/>
    <n v="2251.9499999999998"/>
    <n v="2626.3199999999997"/>
    <s v="Returning"/>
    <n v="0.21"/>
    <x v="2"/>
    <x v="0"/>
    <s v="South-Bob"/>
    <n v="374.36999999999989"/>
    <n v="36768.479999999996"/>
    <n v="5241.1799999999985"/>
  </r>
  <r>
    <n v="1016"/>
    <x v="55"/>
    <x v="1"/>
    <x v="2"/>
    <n v="9961.9599999999991"/>
    <n v="6"/>
    <x v="0"/>
    <n v="4502.09"/>
    <n v="4879.72"/>
    <s v="New"/>
    <n v="0.13"/>
    <x v="2"/>
    <x v="0"/>
    <s v="South-David"/>
    <n v="377.63000000000011"/>
    <n v="29278.32"/>
    <n v="2265.7800000000007"/>
  </r>
  <r>
    <n v="1072"/>
    <x v="313"/>
    <x v="4"/>
    <x v="1"/>
    <n v="8271.6200000000008"/>
    <n v="12"/>
    <x v="2"/>
    <n v="710.99"/>
    <n v="876.46"/>
    <s v="Returning"/>
    <n v="0.03"/>
    <x v="2"/>
    <x v="0"/>
    <s v="West-Alice"/>
    <n v="165.47000000000003"/>
    <n v="10517.52"/>
    <n v="1985.6400000000003"/>
  </r>
  <r>
    <n v="1076"/>
    <x v="172"/>
    <x v="2"/>
    <x v="2"/>
    <n v="8464.23"/>
    <n v="16"/>
    <x v="2"/>
    <n v="1964.15"/>
    <n v="2211.17"/>
    <s v="Returning"/>
    <n v="0.21"/>
    <x v="1"/>
    <x v="0"/>
    <s v="South-Charlie"/>
    <n v="247.01999999999998"/>
    <n v="35378.720000000001"/>
    <n v="3952.3199999999997"/>
  </r>
  <r>
    <n v="1024"/>
    <x v="143"/>
    <x v="1"/>
    <x v="0"/>
    <n v="2565.19"/>
    <n v="17"/>
    <x v="0"/>
    <n v="4114.66"/>
    <n v="4269.0199999999995"/>
    <s v="Returning"/>
    <n v="0.27"/>
    <x v="1"/>
    <x v="1"/>
    <s v="North-David"/>
    <n v="154.35999999999967"/>
    <n v="72573.34"/>
    <n v="2624.1199999999944"/>
  </r>
  <r>
    <n v="1028"/>
    <x v="34"/>
    <x v="2"/>
    <x v="1"/>
    <n v="5809.35"/>
    <n v="45"/>
    <x v="2"/>
    <n v="4848.9799999999996"/>
    <n v="4985.75"/>
    <s v="Returning"/>
    <n v="0.2"/>
    <x v="1"/>
    <x v="0"/>
    <s v="West-Charlie"/>
    <n v="136.77000000000044"/>
    <n v="224358.75"/>
    <n v="6154.6500000000196"/>
  </r>
  <r>
    <n v="1008"/>
    <x v="265"/>
    <x v="2"/>
    <x v="1"/>
    <n v="765.83"/>
    <n v="23"/>
    <x v="2"/>
    <n v="2296.9299999999998"/>
    <n v="2319.62"/>
    <s v="Returning"/>
    <n v="0.23"/>
    <x v="1"/>
    <x v="1"/>
    <s v="West-Charlie"/>
    <n v="22.690000000000055"/>
    <n v="53351.259999999995"/>
    <n v="521.87000000000126"/>
  </r>
  <r>
    <n v="1092"/>
    <x v="216"/>
    <x v="4"/>
    <x v="2"/>
    <n v="1039.69"/>
    <n v="14"/>
    <x v="0"/>
    <n v="2559.65"/>
    <n v="2709.4"/>
    <s v="Returning"/>
    <n v="0.11"/>
    <x v="2"/>
    <x v="1"/>
    <s v="South-Alice"/>
    <n v="149.75"/>
    <n v="37931.599999999999"/>
    <n v="2096.5"/>
  </r>
  <r>
    <n v="1036"/>
    <x v="176"/>
    <x v="1"/>
    <x v="0"/>
    <n v="9989.0400000000009"/>
    <n v="7"/>
    <x v="1"/>
    <n v="2882.25"/>
    <n v="3163.7"/>
    <s v="Returning"/>
    <n v="0.05"/>
    <x v="0"/>
    <x v="1"/>
    <s v="North-David"/>
    <n v="281.44999999999982"/>
    <n v="22145.899999999998"/>
    <n v="1970.1499999999987"/>
  </r>
  <r>
    <n v="1090"/>
    <x v="13"/>
    <x v="3"/>
    <x v="1"/>
    <n v="3333.73"/>
    <n v="46"/>
    <x v="2"/>
    <n v="4665.12"/>
    <n v="4675.8999999999996"/>
    <s v="New"/>
    <n v="0.19"/>
    <x v="0"/>
    <x v="1"/>
    <s v="West-Eve"/>
    <n v="10.779999999999745"/>
    <n v="215091.4"/>
    <n v="495.87999999998829"/>
  </r>
  <r>
    <n v="1008"/>
    <x v="314"/>
    <x v="4"/>
    <x v="3"/>
    <n v="7507.02"/>
    <n v="32"/>
    <x v="1"/>
    <n v="4298.12"/>
    <n v="4446.8999999999996"/>
    <s v="New"/>
    <n v="0.1"/>
    <x v="1"/>
    <x v="0"/>
    <s v="East-Alice"/>
    <n v="148.77999999999975"/>
    <n v="142300.79999999999"/>
    <n v="4760.9599999999919"/>
  </r>
  <r>
    <n v="1058"/>
    <x v="49"/>
    <x v="4"/>
    <x v="1"/>
    <n v="8085.98"/>
    <n v="15"/>
    <x v="2"/>
    <n v="894.48"/>
    <n v="1336.37"/>
    <s v="Returning"/>
    <n v="0.26"/>
    <x v="0"/>
    <x v="1"/>
    <s v="West-Alice"/>
    <n v="441.88999999999987"/>
    <n v="20045.55"/>
    <n v="6628.3499999999985"/>
  </r>
  <r>
    <n v="1060"/>
    <x v="315"/>
    <x v="1"/>
    <x v="2"/>
    <n v="8594.43"/>
    <n v="44"/>
    <x v="2"/>
    <n v="2211.9499999999998"/>
    <n v="2512.8399999999997"/>
    <s v="Returning"/>
    <n v="0.04"/>
    <x v="0"/>
    <x v="0"/>
    <s v="South-David"/>
    <n v="300.88999999999987"/>
    <n v="110564.95999999999"/>
    <n v="13239.159999999994"/>
  </r>
  <r>
    <n v="1050"/>
    <x v="313"/>
    <x v="1"/>
    <x v="0"/>
    <n v="9976.52"/>
    <n v="17"/>
    <x v="0"/>
    <n v="2346.8000000000002"/>
    <n v="2654.65"/>
    <s v="New"/>
    <n v="0.13"/>
    <x v="0"/>
    <x v="1"/>
    <s v="North-David"/>
    <n v="307.84999999999991"/>
    <n v="45129.05"/>
    <n v="5233.4499999999989"/>
  </r>
  <r>
    <n v="1028"/>
    <x v="185"/>
    <x v="2"/>
    <x v="2"/>
    <n v="2490.8200000000002"/>
    <n v="41"/>
    <x v="2"/>
    <n v="3956.03"/>
    <n v="4163.68"/>
    <s v="New"/>
    <n v="0.12"/>
    <x v="1"/>
    <x v="1"/>
    <s v="South-Charlie"/>
    <n v="207.65000000000009"/>
    <n v="170710.88"/>
    <n v="8513.6500000000033"/>
  </r>
  <r>
    <n v="1092"/>
    <x v="78"/>
    <x v="1"/>
    <x v="3"/>
    <n v="499.47"/>
    <n v="47"/>
    <x v="3"/>
    <n v="3034.32"/>
    <n v="3375.79"/>
    <s v="New"/>
    <n v="0.28000000000000003"/>
    <x v="2"/>
    <x v="0"/>
    <s v="East-David"/>
    <n v="341.4699999999998"/>
    <n v="158662.13"/>
    <n v="16049.089999999991"/>
  </r>
  <r>
    <n v="1041"/>
    <x v="88"/>
    <x v="2"/>
    <x v="3"/>
    <n v="4170.8"/>
    <n v="44"/>
    <x v="3"/>
    <n v="3288.39"/>
    <n v="3391.46"/>
    <s v="New"/>
    <n v="0.05"/>
    <x v="2"/>
    <x v="1"/>
    <s v="East-Charlie"/>
    <n v="103.07000000000016"/>
    <n v="149224.24"/>
    <n v="4535.0800000000072"/>
  </r>
  <r>
    <n v="1100"/>
    <x v="38"/>
    <x v="4"/>
    <x v="3"/>
    <n v="1387.8"/>
    <n v="34"/>
    <x v="0"/>
    <n v="4991.09"/>
    <n v="5402.28"/>
    <s v="Returning"/>
    <n v="0"/>
    <x v="0"/>
    <x v="1"/>
    <s v="East-Alice"/>
    <n v="411.1899999999996"/>
    <n v="183677.52"/>
    <n v="13980.459999999986"/>
  </r>
  <r>
    <n v="1064"/>
    <x v="195"/>
    <x v="0"/>
    <x v="2"/>
    <n v="322.02"/>
    <n v="5"/>
    <x v="1"/>
    <n v="421.05"/>
    <n v="488.23"/>
    <s v="Returning"/>
    <n v="7.0000000000000007E-2"/>
    <x v="2"/>
    <x v="1"/>
    <s v="South-Bob"/>
    <n v="67.180000000000007"/>
    <n v="2441.15"/>
    <n v="335.90000000000003"/>
  </r>
  <r>
    <n v="1027"/>
    <x v="298"/>
    <x v="3"/>
    <x v="1"/>
    <n v="3668.23"/>
    <n v="45"/>
    <x v="1"/>
    <n v="1153.9000000000001"/>
    <n v="1485.3400000000001"/>
    <s v="New"/>
    <n v="0.25"/>
    <x v="2"/>
    <x v="1"/>
    <s v="West-Eve"/>
    <n v="331.44000000000005"/>
    <n v="66840.3"/>
    <n v="14914.800000000003"/>
  </r>
  <r>
    <n v="1063"/>
    <x v="234"/>
    <x v="4"/>
    <x v="2"/>
    <n v="7859.01"/>
    <n v="27"/>
    <x v="1"/>
    <n v="2069.08"/>
    <n v="2246.2399999999998"/>
    <s v="New"/>
    <n v="0.06"/>
    <x v="1"/>
    <x v="1"/>
    <s v="South-Alice"/>
    <n v="177.15999999999985"/>
    <n v="60648.479999999996"/>
    <n v="4783.3199999999961"/>
  </r>
  <r>
    <n v="1017"/>
    <x v="125"/>
    <x v="1"/>
    <x v="0"/>
    <n v="5705.19"/>
    <n v="23"/>
    <x v="3"/>
    <n v="1771.52"/>
    <n v="2147.8000000000002"/>
    <s v="New"/>
    <n v="7.0000000000000007E-2"/>
    <x v="1"/>
    <x v="0"/>
    <s v="North-David"/>
    <n v="376.2800000000002"/>
    <n v="49399.4"/>
    <n v="8654.4400000000041"/>
  </r>
  <r>
    <n v="1073"/>
    <x v="316"/>
    <x v="3"/>
    <x v="1"/>
    <n v="3196.5"/>
    <n v="40"/>
    <x v="1"/>
    <n v="157.15"/>
    <n v="436.53"/>
    <s v="New"/>
    <n v="0.04"/>
    <x v="0"/>
    <x v="1"/>
    <s v="West-Eve"/>
    <n v="279.38"/>
    <n v="17461.199999999997"/>
    <n v="11175.2"/>
  </r>
  <r>
    <n v="1033"/>
    <x v="317"/>
    <x v="0"/>
    <x v="3"/>
    <n v="6577.99"/>
    <n v="14"/>
    <x v="1"/>
    <n v="504.3"/>
    <n v="735.95"/>
    <s v="Returning"/>
    <n v="0.21"/>
    <x v="0"/>
    <x v="1"/>
    <s v="East-Bob"/>
    <n v="231.65000000000003"/>
    <n v="10303.300000000001"/>
    <n v="3243.1000000000004"/>
  </r>
  <r>
    <n v="1084"/>
    <x v="50"/>
    <x v="0"/>
    <x v="2"/>
    <n v="2396.98"/>
    <n v="15"/>
    <x v="0"/>
    <n v="3420.72"/>
    <n v="3513.74"/>
    <s v="New"/>
    <n v="0.02"/>
    <x v="0"/>
    <x v="0"/>
    <s v="South-Bob"/>
    <n v="93.019999999999982"/>
    <n v="52706.1"/>
    <n v="1395.2999999999997"/>
  </r>
  <r>
    <n v="1077"/>
    <x v="243"/>
    <x v="2"/>
    <x v="3"/>
    <n v="242.38"/>
    <n v="43"/>
    <x v="1"/>
    <n v="4402.66"/>
    <n v="4724.7"/>
    <s v="New"/>
    <n v="0.1"/>
    <x v="1"/>
    <x v="1"/>
    <s v="East-Charlie"/>
    <n v="322.03999999999996"/>
    <n v="203162.1"/>
    <n v="13847.719999999998"/>
  </r>
  <r>
    <n v="1092"/>
    <x v="318"/>
    <x v="3"/>
    <x v="3"/>
    <n v="7667.1"/>
    <n v="33"/>
    <x v="3"/>
    <n v="2595.42"/>
    <n v="3083.06"/>
    <s v="New"/>
    <n v="0.08"/>
    <x v="2"/>
    <x v="0"/>
    <s v="East-Eve"/>
    <n v="487.63999999999987"/>
    <n v="101740.98"/>
    <n v="16092.119999999995"/>
  </r>
  <r>
    <n v="1029"/>
    <x v="172"/>
    <x v="2"/>
    <x v="0"/>
    <n v="6275.06"/>
    <n v="31"/>
    <x v="3"/>
    <n v="2719"/>
    <n v="3133.55"/>
    <s v="Returning"/>
    <n v="0.17"/>
    <x v="1"/>
    <x v="1"/>
    <s v="North-Charlie"/>
    <n v="414.55000000000018"/>
    <n v="97140.05"/>
    <n v="12851.050000000007"/>
  </r>
  <r>
    <n v="1013"/>
    <x v="266"/>
    <x v="4"/>
    <x v="1"/>
    <n v="7646.8"/>
    <n v="35"/>
    <x v="3"/>
    <n v="1312.71"/>
    <n v="1352.1100000000001"/>
    <s v="Returning"/>
    <n v="0.22"/>
    <x v="1"/>
    <x v="1"/>
    <s v="West-Alice"/>
    <n v="39.400000000000091"/>
    <n v="47323.850000000006"/>
    <n v="1379.0000000000032"/>
  </r>
  <r>
    <n v="1046"/>
    <x v="250"/>
    <x v="3"/>
    <x v="0"/>
    <n v="485.49"/>
    <n v="17"/>
    <x v="0"/>
    <n v="3850.99"/>
    <n v="4045.3399999999997"/>
    <s v="Returning"/>
    <n v="0.16"/>
    <x v="2"/>
    <x v="0"/>
    <s v="North-Eve"/>
    <n v="194.34999999999991"/>
    <n v="68770.78"/>
    <n v="3303.9499999999985"/>
  </r>
  <r>
    <n v="1035"/>
    <x v="319"/>
    <x v="4"/>
    <x v="0"/>
    <n v="8387.48"/>
    <n v="28"/>
    <x v="0"/>
    <n v="3771.38"/>
    <n v="4234.92"/>
    <s v="New"/>
    <n v="0.28000000000000003"/>
    <x v="2"/>
    <x v="1"/>
    <s v="North-Alice"/>
    <n v="463.53999999999996"/>
    <n v="118577.76000000001"/>
    <n v="12979.119999999999"/>
  </r>
  <r>
    <n v="1006"/>
    <x v="210"/>
    <x v="2"/>
    <x v="0"/>
    <n v="6233.31"/>
    <n v="19"/>
    <x v="2"/>
    <n v="2962.41"/>
    <n v="3218.8999999999996"/>
    <s v="New"/>
    <n v="0.28999999999999998"/>
    <x v="0"/>
    <x v="1"/>
    <s v="North-Charlie"/>
    <n v="256.48999999999978"/>
    <n v="61159.099999999991"/>
    <n v="4873.3099999999959"/>
  </r>
  <r>
    <n v="1082"/>
    <x v="150"/>
    <x v="3"/>
    <x v="3"/>
    <n v="5677.61"/>
    <n v="46"/>
    <x v="1"/>
    <n v="1102.69"/>
    <n v="1437.1200000000001"/>
    <s v="New"/>
    <n v="0.11"/>
    <x v="2"/>
    <x v="0"/>
    <s v="East-Eve"/>
    <n v="334.43000000000006"/>
    <n v="66107.520000000004"/>
    <n v="15383.780000000002"/>
  </r>
  <r>
    <n v="1069"/>
    <x v="320"/>
    <x v="2"/>
    <x v="0"/>
    <n v="6283.68"/>
    <n v="23"/>
    <x v="0"/>
    <n v="530.24"/>
    <n v="987.41000000000008"/>
    <s v="Returning"/>
    <n v="0.23"/>
    <x v="2"/>
    <x v="0"/>
    <s v="North-Charlie"/>
    <n v="457.17000000000007"/>
    <n v="22710.43"/>
    <n v="10514.910000000002"/>
  </r>
  <r>
    <n v="1047"/>
    <x v="93"/>
    <x v="3"/>
    <x v="0"/>
    <n v="8657.89"/>
    <n v="32"/>
    <x v="3"/>
    <n v="367.98"/>
    <n v="806.1400000000001"/>
    <s v="Returning"/>
    <n v="0.22"/>
    <x v="2"/>
    <x v="1"/>
    <s v="North-Eve"/>
    <n v="438.16000000000008"/>
    <n v="25796.480000000003"/>
    <n v="14021.120000000003"/>
  </r>
  <r>
    <n v="1025"/>
    <x v="318"/>
    <x v="2"/>
    <x v="1"/>
    <n v="5910.67"/>
    <n v="40"/>
    <x v="3"/>
    <n v="2983.85"/>
    <n v="3239.74"/>
    <s v="New"/>
    <n v="0.27"/>
    <x v="2"/>
    <x v="0"/>
    <s v="West-Charlie"/>
    <n v="255.88999999999987"/>
    <n v="129589.59999999999"/>
    <n v="10235.599999999995"/>
  </r>
  <r>
    <n v="1066"/>
    <x v="193"/>
    <x v="0"/>
    <x v="1"/>
    <n v="5851.41"/>
    <n v="13"/>
    <x v="0"/>
    <n v="4133.92"/>
    <n v="4358.37"/>
    <s v="New"/>
    <n v="0.13"/>
    <x v="0"/>
    <x v="1"/>
    <s v="West-Bob"/>
    <n v="224.44999999999982"/>
    <n v="56658.81"/>
    <n v="2917.8499999999976"/>
  </r>
  <r>
    <n v="1010"/>
    <x v="178"/>
    <x v="2"/>
    <x v="0"/>
    <n v="9907.7199999999993"/>
    <n v="20"/>
    <x v="0"/>
    <n v="4298.74"/>
    <n v="4475.1899999999996"/>
    <s v="Returning"/>
    <n v="0.16"/>
    <x v="0"/>
    <x v="0"/>
    <s v="North-Charlie"/>
    <n v="176.44999999999982"/>
    <n v="89503.799999999988"/>
    <n v="3528.9999999999964"/>
  </r>
  <r>
    <n v="1056"/>
    <x v="321"/>
    <x v="0"/>
    <x v="1"/>
    <n v="7591.63"/>
    <n v="35"/>
    <x v="0"/>
    <n v="2344.9299999999998"/>
    <n v="2707.25"/>
    <s v="New"/>
    <n v="0.12"/>
    <x v="2"/>
    <x v="1"/>
    <s v="West-Bob"/>
    <n v="362.32000000000016"/>
    <n v="94753.75"/>
    <n v="12681.200000000006"/>
  </r>
  <r>
    <n v="1030"/>
    <x v="253"/>
    <x v="2"/>
    <x v="1"/>
    <n v="4478.71"/>
    <n v="5"/>
    <x v="2"/>
    <n v="3932.14"/>
    <n v="4082.7599999999998"/>
    <s v="New"/>
    <n v="0.26"/>
    <x v="2"/>
    <x v="0"/>
    <s v="West-Charlie"/>
    <n v="150.61999999999989"/>
    <n v="20413.8"/>
    <n v="753.09999999999945"/>
  </r>
  <r>
    <n v="1005"/>
    <x v="175"/>
    <x v="3"/>
    <x v="0"/>
    <n v="7103.23"/>
    <n v="9"/>
    <x v="3"/>
    <n v="4737.0600000000004"/>
    <n v="4869.5"/>
    <s v="New"/>
    <n v="7.0000000000000007E-2"/>
    <x v="0"/>
    <x v="0"/>
    <s v="North-Eve"/>
    <n v="132.4399999999996"/>
    <n v="43825.5"/>
    <n v="1191.9599999999964"/>
  </r>
  <r>
    <n v="1033"/>
    <x v="256"/>
    <x v="3"/>
    <x v="3"/>
    <n v="3953.38"/>
    <n v="29"/>
    <x v="2"/>
    <n v="1412.09"/>
    <n v="1596.6499999999999"/>
    <s v="Returning"/>
    <n v="7.0000000000000007E-2"/>
    <x v="0"/>
    <x v="0"/>
    <s v="East-Eve"/>
    <n v="184.55999999999995"/>
    <n v="46302.85"/>
    <n v="5352.239999999998"/>
  </r>
  <r>
    <n v="1065"/>
    <x v="211"/>
    <x v="3"/>
    <x v="0"/>
    <n v="2365.87"/>
    <n v="6"/>
    <x v="2"/>
    <n v="2019.9"/>
    <n v="2116.7400000000002"/>
    <s v="New"/>
    <n v="0.11"/>
    <x v="2"/>
    <x v="0"/>
    <s v="North-Eve"/>
    <n v="96.840000000000146"/>
    <n v="12700.440000000002"/>
    <n v="581.04000000000087"/>
  </r>
  <r>
    <n v="1018"/>
    <x v="157"/>
    <x v="1"/>
    <x v="1"/>
    <n v="6008.83"/>
    <n v="25"/>
    <x v="1"/>
    <n v="4660.82"/>
    <n v="5011.4299999999994"/>
    <s v="New"/>
    <n v="7.0000000000000007E-2"/>
    <x v="1"/>
    <x v="0"/>
    <s v="West-David"/>
    <n v="350.60999999999967"/>
    <n v="125285.74999999999"/>
    <n v="8765.2499999999927"/>
  </r>
  <r>
    <n v="1096"/>
    <x v="322"/>
    <x v="4"/>
    <x v="3"/>
    <n v="9289"/>
    <n v="31"/>
    <x v="3"/>
    <n v="1724.24"/>
    <n v="2036.2"/>
    <s v="New"/>
    <n v="0.17"/>
    <x v="0"/>
    <x v="0"/>
    <s v="East-Alice"/>
    <n v="311.96000000000004"/>
    <n v="63122.200000000004"/>
    <n v="9670.760000000002"/>
  </r>
  <r>
    <n v="1049"/>
    <x v="39"/>
    <x v="3"/>
    <x v="2"/>
    <n v="9298.48"/>
    <n v="22"/>
    <x v="3"/>
    <n v="4573.6899999999996"/>
    <n v="4820.2999999999993"/>
    <s v="New"/>
    <n v="0.04"/>
    <x v="0"/>
    <x v="0"/>
    <s v="South-Eve"/>
    <n v="246.60999999999967"/>
    <n v="106046.59999999998"/>
    <n v="5425.4199999999928"/>
  </r>
  <r>
    <n v="1011"/>
    <x v="323"/>
    <x v="0"/>
    <x v="3"/>
    <n v="3484.86"/>
    <n v="2"/>
    <x v="0"/>
    <n v="4906.17"/>
    <n v="5107.43"/>
    <s v="Returning"/>
    <n v="0.1"/>
    <x v="0"/>
    <x v="0"/>
    <s v="East-Bob"/>
    <n v="201.26000000000022"/>
    <n v="10214.86"/>
    <n v="402.52000000000044"/>
  </r>
  <r>
    <n v="1085"/>
    <x v="324"/>
    <x v="3"/>
    <x v="1"/>
    <n v="5324.01"/>
    <n v="45"/>
    <x v="0"/>
    <n v="3325.96"/>
    <n v="3781.4"/>
    <s v="Returning"/>
    <n v="0.27"/>
    <x v="2"/>
    <x v="0"/>
    <s v="West-Eve"/>
    <n v="455.44000000000005"/>
    <n v="170163"/>
    <n v="20494.800000000003"/>
  </r>
  <r>
    <n v="1026"/>
    <x v="45"/>
    <x v="1"/>
    <x v="3"/>
    <n v="2195.1999999999998"/>
    <n v="5"/>
    <x v="1"/>
    <n v="4093.61"/>
    <n v="4117.88"/>
    <s v="Returning"/>
    <n v="0.12"/>
    <x v="2"/>
    <x v="1"/>
    <s v="East-David"/>
    <n v="24.269999999999982"/>
    <n v="20589.400000000001"/>
    <n v="121.34999999999991"/>
  </r>
  <r>
    <n v="1063"/>
    <x v="11"/>
    <x v="0"/>
    <x v="0"/>
    <n v="9956.75"/>
    <n v="27"/>
    <x v="2"/>
    <n v="3760.25"/>
    <n v="4147.1099999999997"/>
    <s v="New"/>
    <n v="0.22"/>
    <x v="0"/>
    <x v="0"/>
    <s v="North-Bob"/>
    <n v="386.85999999999967"/>
    <n v="111971.96999999999"/>
    <n v="10445.21999999999"/>
  </r>
  <r>
    <n v="1089"/>
    <x v="178"/>
    <x v="1"/>
    <x v="2"/>
    <n v="9813.07"/>
    <n v="25"/>
    <x v="0"/>
    <n v="3512.69"/>
    <n v="3964.63"/>
    <s v="Returning"/>
    <n v="0.03"/>
    <x v="2"/>
    <x v="1"/>
    <s v="South-David"/>
    <n v="451.94000000000005"/>
    <n v="99115.75"/>
    <n v="11298.500000000002"/>
  </r>
  <r>
    <n v="1086"/>
    <x v="21"/>
    <x v="0"/>
    <x v="2"/>
    <n v="6530.14"/>
    <n v="8"/>
    <x v="0"/>
    <n v="1569.31"/>
    <n v="1798.02"/>
    <s v="New"/>
    <n v="7.0000000000000007E-2"/>
    <x v="2"/>
    <x v="0"/>
    <s v="South-Bob"/>
    <n v="228.71000000000004"/>
    <n v="14384.16"/>
    <n v="1829.6800000000003"/>
  </r>
  <r>
    <n v="1059"/>
    <x v="291"/>
    <x v="2"/>
    <x v="2"/>
    <n v="8063.7"/>
    <n v="1"/>
    <x v="3"/>
    <n v="332.62"/>
    <n v="612.46"/>
    <s v="Returning"/>
    <n v="0.24"/>
    <x v="0"/>
    <x v="1"/>
    <s v="South-Charlie"/>
    <n v="279.84000000000003"/>
    <n v="612.46"/>
    <n v="279.84000000000003"/>
  </r>
  <r>
    <n v="1027"/>
    <x v="118"/>
    <x v="4"/>
    <x v="1"/>
    <n v="7179.49"/>
    <n v="20"/>
    <x v="3"/>
    <n v="1748.11"/>
    <n v="2220.9"/>
    <s v="New"/>
    <n v="0.23"/>
    <x v="2"/>
    <x v="1"/>
    <s v="West-Alice"/>
    <n v="472.79000000000019"/>
    <n v="44418"/>
    <n v="9455.8000000000029"/>
  </r>
  <r>
    <n v="1049"/>
    <x v="325"/>
    <x v="4"/>
    <x v="1"/>
    <n v="5972.27"/>
    <n v="44"/>
    <x v="0"/>
    <n v="3351.33"/>
    <n v="3465.35"/>
    <s v="Returning"/>
    <n v="0.12"/>
    <x v="1"/>
    <x v="0"/>
    <s v="West-Alice"/>
    <n v="114.01999999999998"/>
    <n v="152475.4"/>
    <n v="5016.8799999999992"/>
  </r>
  <r>
    <n v="1077"/>
    <x v="178"/>
    <x v="1"/>
    <x v="2"/>
    <n v="628.15"/>
    <n v="23"/>
    <x v="3"/>
    <n v="557.52"/>
    <n v="822.39"/>
    <s v="Returning"/>
    <n v="0.28999999999999998"/>
    <x v="2"/>
    <x v="0"/>
    <s v="South-David"/>
    <n v="264.87"/>
    <n v="18914.97"/>
    <n v="6092.01"/>
  </r>
  <r>
    <n v="1033"/>
    <x v="121"/>
    <x v="4"/>
    <x v="3"/>
    <n v="4602.17"/>
    <n v="32"/>
    <x v="1"/>
    <n v="108.99"/>
    <n v="351.6"/>
    <s v="Returning"/>
    <n v="0.27"/>
    <x v="2"/>
    <x v="1"/>
    <s v="East-Alice"/>
    <n v="242.61"/>
    <n v="11251.2"/>
    <n v="7763.52"/>
  </r>
  <r>
    <n v="1098"/>
    <x v="37"/>
    <x v="1"/>
    <x v="2"/>
    <n v="6780.38"/>
    <n v="11"/>
    <x v="0"/>
    <n v="741.48"/>
    <n v="878.09"/>
    <s v="New"/>
    <n v="0.28999999999999998"/>
    <x v="0"/>
    <x v="1"/>
    <s v="South-David"/>
    <n v="136.61000000000001"/>
    <n v="9658.99"/>
    <n v="1502.71"/>
  </r>
  <r>
    <n v="1099"/>
    <x v="108"/>
    <x v="1"/>
    <x v="3"/>
    <n v="6807.56"/>
    <n v="39"/>
    <x v="3"/>
    <n v="3592.89"/>
    <n v="4004"/>
    <s v="New"/>
    <n v="0.13"/>
    <x v="0"/>
    <x v="0"/>
    <s v="East-David"/>
    <n v="411.11000000000013"/>
    <n v="156156"/>
    <n v="16033.290000000005"/>
  </r>
  <r>
    <n v="1001"/>
    <x v="75"/>
    <x v="1"/>
    <x v="3"/>
    <n v="3793.91"/>
    <n v="47"/>
    <x v="1"/>
    <n v="4865.33"/>
    <n v="5316.13"/>
    <s v="New"/>
    <n v="0.06"/>
    <x v="1"/>
    <x v="0"/>
    <s v="East-David"/>
    <n v="450.80000000000018"/>
    <n v="249858.11000000002"/>
    <n v="21187.600000000009"/>
  </r>
  <r>
    <n v="1021"/>
    <x v="193"/>
    <x v="4"/>
    <x v="1"/>
    <n v="9422.75"/>
    <n v="24"/>
    <x v="3"/>
    <n v="4916.17"/>
    <n v="5309.32"/>
    <s v="Returning"/>
    <n v="0.19"/>
    <x v="2"/>
    <x v="0"/>
    <s v="West-Alice"/>
    <n v="393.14999999999964"/>
    <n v="127423.67999999999"/>
    <n v="9435.5999999999913"/>
  </r>
  <r>
    <n v="1055"/>
    <x v="76"/>
    <x v="1"/>
    <x v="3"/>
    <n v="1756.83"/>
    <n v="11"/>
    <x v="3"/>
    <n v="2495.1999999999998"/>
    <n v="2600.9299999999998"/>
    <s v="New"/>
    <n v="0.21"/>
    <x v="1"/>
    <x v="1"/>
    <s v="East-David"/>
    <n v="105.73000000000002"/>
    <n v="28610.23"/>
    <n v="1163.0300000000002"/>
  </r>
  <r>
    <n v="1006"/>
    <x v="319"/>
    <x v="4"/>
    <x v="2"/>
    <n v="5053.5600000000004"/>
    <n v="29"/>
    <x v="3"/>
    <n v="4353.29"/>
    <n v="4405.8"/>
    <s v="New"/>
    <n v="0.04"/>
    <x v="1"/>
    <x v="0"/>
    <s v="South-Alice"/>
    <n v="52.510000000000218"/>
    <n v="127768.20000000001"/>
    <n v="1522.7900000000063"/>
  </r>
  <r>
    <n v="1092"/>
    <x v="242"/>
    <x v="1"/>
    <x v="1"/>
    <n v="6939.75"/>
    <n v="26"/>
    <x v="0"/>
    <n v="3697.29"/>
    <n v="4003.96"/>
    <s v="New"/>
    <n v="0.24"/>
    <x v="0"/>
    <x v="0"/>
    <s v="West-David"/>
    <n v="306.67000000000007"/>
    <n v="104102.96"/>
    <n v="7973.4200000000019"/>
  </r>
  <r>
    <n v="1081"/>
    <x v="221"/>
    <x v="3"/>
    <x v="0"/>
    <n v="7001.64"/>
    <n v="16"/>
    <x v="2"/>
    <n v="2530.15"/>
    <n v="2568.13"/>
    <s v="New"/>
    <n v="0.01"/>
    <x v="2"/>
    <x v="0"/>
    <s v="North-Eve"/>
    <n v="37.980000000000018"/>
    <n v="41090.080000000002"/>
    <n v="607.68000000000029"/>
  </r>
  <r>
    <n v="1069"/>
    <x v="181"/>
    <x v="1"/>
    <x v="0"/>
    <n v="6521.53"/>
    <n v="35"/>
    <x v="3"/>
    <n v="2885.16"/>
    <n v="3224.8399999999997"/>
    <s v="New"/>
    <n v="0.14000000000000001"/>
    <x v="0"/>
    <x v="0"/>
    <s v="North-David"/>
    <n v="339.67999999999984"/>
    <n v="112869.4"/>
    <n v="11888.799999999994"/>
  </r>
  <r>
    <n v="1095"/>
    <x v="3"/>
    <x v="0"/>
    <x v="1"/>
    <n v="2825.35"/>
    <n v="20"/>
    <x v="1"/>
    <n v="729.27"/>
    <n v="999.18000000000006"/>
    <s v="New"/>
    <n v="0.1"/>
    <x v="1"/>
    <x v="0"/>
    <s v="West-Bob"/>
    <n v="269.91000000000008"/>
    <n v="19983.600000000002"/>
    <n v="5398.2000000000016"/>
  </r>
  <r>
    <n v="1005"/>
    <x v="154"/>
    <x v="1"/>
    <x v="2"/>
    <n v="1646.45"/>
    <n v="46"/>
    <x v="0"/>
    <n v="4691.42"/>
    <n v="5026.1900000000005"/>
    <s v="Returning"/>
    <n v="0.22"/>
    <x v="1"/>
    <x v="1"/>
    <s v="South-David"/>
    <n v="334.77000000000044"/>
    <n v="231204.74000000002"/>
    <n v="15399.42000000002"/>
  </r>
  <r>
    <n v="1003"/>
    <x v="326"/>
    <x v="2"/>
    <x v="0"/>
    <n v="6395.81"/>
    <n v="3"/>
    <x v="0"/>
    <n v="1792.05"/>
    <n v="2091.23"/>
    <s v="Returning"/>
    <n v="0.09"/>
    <x v="0"/>
    <x v="1"/>
    <s v="North-Charlie"/>
    <n v="299.18000000000006"/>
    <n v="6273.6900000000005"/>
    <n v="897.54000000000019"/>
  </r>
  <r>
    <n v="1053"/>
    <x v="131"/>
    <x v="1"/>
    <x v="0"/>
    <n v="6033.09"/>
    <n v="1"/>
    <x v="1"/>
    <n v="2258.44"/>
    <n v="2475.56"/>
    <s v="New"/>
    <n v="0.25"/>
    <x v="0"/>
    <x v="0"/>
    <s v="North-David"/>
    <n v="217.11999999999989"/>
    <n v="2475.56"/>
    <n v="217.11999999999989"/>
  </r>
  <r>
    <n v="1023"/>
    <x v="295"/>
    <x v="0"/>
    <x v="3"/>
    <n v="1875.62"/>
    <n v="47"/>
    <x v="3"/>
    <n v="3374.72"/>
    <n v="3483.1499999999996"/>
    <s v="Returning"/>
    <n v="0.18"/>
    <x v="0"/>
    <x v="0"/>
    <s v="East-Bob"/>
    <n v="108.42999999999984"/>
    <n v="163708.04999999999"/>
    <n v="5096.2099999999919"/>
  </r>
  <r>
    <n v="1053"/>
    <x v="76"/>
    <x v="0"/>
    <x v="3"/>
    <n v="7080.88"/>
    <n v="1"/>
    <x v="2"/>
    <n v="1702.82"/>
    <n v="1862.61"/>
    <s v="Returning"/>
    <n v="0.24"/>
    <x v="0"/>
    <x v="1"/>
    <s v="East-Bob"/>
    <n v="159.78999999999996"/>
    <n v="1862.61"/>
    <n v="159.78999999999996"/>
  </r>
  <r>
    <n v="1037"/>
    <x v="290"/>
    <x v="4"/>
    <x v="2"/>
    <n v="4606.2"/>
    <n v="17"/>
    <x v="3"/>
    <n v="1308.58"/>
    <n v="1575.59"/>
    <s v="New"/>
    <n v="0.3"/>
    <x v="0"/>
    <x v="0"/>
    <s v="South-Alice"/>
    <n v="267.01"/>
    <n v="26785.03"/>
    <n v="4539.17"/>
  </r>
  <r>
    <n v="1074"/>
    <x v="215"/>
    <x v="3"/>
    <x v="1"/>
    <n v="6710.83"/>
    <n v="2"/>
    <x v="1"/>
    <n v="3173.69"/>
    <n v="3503.11"/>
    <s v="New"/>
    <n v="0.2"/>
    <x v="1"/>
    <x v="1"/>
    <s v="West-Eve"/>
    <n v="329.42000000000007"/>
    <n v="7006.22"/>
    <n v="658.84000000000015"/>
  </r>
  <r>
    <n v="1074"/>
    <x v="160"/>
    <x v="1"/>
    <x v="2"/>
    <n v="8389.93"/>
    <n v="29"/>
    <x v="0"/>
    <n v="173.67"/>
    <n v="565.62"/>
    <s v="Returning"/>
    <n v="0.3"/>
    <x v="0"/>
    <x v="0"/>
    <s v="South-David"/>
    <n v="391.95000000000005"/>
    <n v="16402.98"/>
    <n v="11366.550000000001"/>
  </r>
  <r>
    <n v="1083"/>
    <x v="324"/>
    <x v="4"/>
    <x v="1"/>
    <n v="1780.31"/>
    <n v="20"/>
    <x v="2"/>
    <n v="3617.59"/>
    <n v="4003.5"/>
    <s v="New"/>
    <n v="0.01"/>
    <x v="2"/>
    <x v="1"/>
    <s v="West-Alice"/>
    <n v="385.90999999999985"/>
    <n v="80070"/>
    <n v="7718.1999999999971"/>
  </r>
  <r>
    <n v="1017"/>
    <x v="120"/>
    <x v="3"/>
    <x v="0"/>
    <n v="289.52999999999997"/>
    <n v="6"/>
    <x v="0"/>
    <n v="2594.42"/>
    <n v="3081.04"/>
    <s v="Returning"/>
    <n v="0.1"/>
    <x v="1"/>
    <x v="1"/>
    <s v="North-Eve"/>
    <n v="486.61999999999989"/>
    <n v="18486.239999999998"/>
    <n v="2919.7199999999993"/>
  </r>
  <r>
    <n v="1085"/>
    <x v="200"/>
    <x v="1"/>
    <x v="3"/>
    <n v="7813.12"/>
    <n v="8"/>
    <x v="1"/>
    <n v="3048.48"/>
    <n v="3198.54"/>
    <s v="Returning"/>
    <n v="0.03"/>
    <x v="1"/>
    <x v="0"/>
    <s v="East-David"/>
    <n v="150.05999999999995"/>
    <n v="25588.32"/>
    <n v="1200.4799999999996"/>
  </r>
  <r>
    <n v="1078"/>
    <x v="314"/>
    <x v="2"/>
    <x v="2"/>
    <n v="6136"/>
    <n v="29"/>
    <x v="3"/>
    <n v="3177.81"/>
    <n v="3222.65"/>
    <s v="Returning"/>
    <n v="0.08"/>
    <x v="2"/>
    <x v="1"/>
    <s v="South-Charlie"/>
    <n v="44.840000000000146"/>
    <n v="93456.85"/>
    <n v="1300.3600000000042"/>
  </r>
  <r>
    <n v="1073"/>
    <x v="10"/>
    <x v="1"/>
    <x v="2"/>
    <n v="7026.43"/>
    <n v="48"/>
    <x v="2"/>
    <n v="2658.9"/>
    <n v="2838.27"/>
    <s v="New"/>
    <n v="0.25"/>
    <x v="2"/>
    <x v="0"/>
    <s v="South-David"/>
    <n v="179.36999999999989"/>
    <n v="136236.96"/>
    <n v="8609.7599999999948"/>
  </r>
  <r>
    <n v="1001"/>
    <x v="231"/>
    <x v="0"/>
    <x v="1"/>
    <n v="8397.73"/>
    <n v="33"/>
    <x v="0"/>
    <n v="2933.54"/>
    <n v="3307.75"/>
    <s v="Returning"/>
    <n v="0.01"/>
    <x v="1"/>
    <x v="1"/>
    <s v="West-Bob"/>
    <n v="374.21000000000004"/>
    <n v="109155.75"/>
    <n v="12348.93"/>
  </r>
  <r>
    <n v="1051"/>
    <x v="226"/>
    <x v="0"/>
    <x v="1"/>
    <n v="8047.83"/>
    <n v="3"/>
    <x v="0"/>
    <n v="3434.75"/>
    <n v="3659.42"/>
    <s v="New"/>
    <n v="0.16"/>
    <x v="0"/>
    <x v="0"/>
    <s v="West-Bob"/>
    <n v="224.67000000000007"/>
    <n v="10978.26"/>
    <n v="674.01000000000022"/>
  </r>
  <r>
    <n v="1045"/>
    <x v="266"/>
    <x v="2"/>
    <x v="2"/>
    <n v="9613.11"/>
    <n v="35"/>
    <x v="0"/>
    <n v="3777.94"/>
    <n v="4188.66"/>
    <s v="New"/>
    <n v="0.17"/>
    <x v="1"/>
    <x v="0"/>
    <s v="South-Charlie"/>
    <n v="410.7199999999998"/>
    <n v="146603.1"/>
    <n v="14375.199999999993"/>
  </r>
  <r>
    <n v="1077"/>
    <x v="278"/>
    <x v="4"/>
    <x v="1"/>
    <n v="5405.76"/>
    <n v="5"/>
    <x v="3"/>
    <n v="3650.89"/>
    <n v="3930.06"/>
    <s v="New"/>
    <n v="0.17"/>
    <x v="1"/>
    <x v="0"/>
    <s v="West-Alice"/>
    <n v="279.17000000000007"/>
    <n v="19650.3"/>
    <n v="1395.8500000000004"/>
  </r>
  <r>
    <n v="1004"/>
    <x v="325"/>
    <x v="3"/>
    <x v="2"/>
    <n v="4936.1099999999997"/>
    <n v="27"/>
    <x v="2"/>
    <n v="4354.6000000000004"/>
    <n v="4820.2000000000007"/>
    <s v="New"/>
    <n v="0.14000000000000001"/>
    <x v="2"/>
    <x v="1"/>
    <s v="South-Eve"/>
    <n v="465.60000000000036"/>
    <n v="130145.40000000002"/>
    <n v="12571.20000000001"/>
  </r>
  <r>
    <n v="1062"/>
    <x v="327"/>
    <x v="1"/>
    <x v="2"/>
    <n v="4078.68"/>
    <n v="44"/>
    <x v="3"/>
    <n v="987.74"/>
    <n v="1462.19"/>
    <s v="New"/>
    <n v="0.24"/>
    <x v="1"/>
    <x v="0"/>
    <s v="South-David"/>
    <n v="474.45000000000005"/>
    <n v="64336.36"/>
    <n v="20875.800000000003"/>
  </r>
  <r>
    <n v="1065"/>
    <x v="242"/>
    <x v="0"/>
    <x v="2"/>
    <n v="1621.54"/>
    <n v="12"/>
    <x v="3"/>
    <n v="2035.68"/>
    <n v="2079.64"/>
    <s v="Returning"/>
    <n v="0.04"/>
    <x v="0"/>
    <x v="0"/>
    <s v="South-Bob"/>
    <n v="43.959999999999809"/>
    <n v="24955.68"/>
    <n v="527.51999999999771"/>
  </r>
  <r>
    <n v="1032"/>
    <x v="287"/>
    <x v="4"/>
    <x v="0"/>
    <n v="5768.81"/>
    <n v="20"/>
    <x v="3"/>
    <n v="4741.59"/>
    <n v="4975.2300000000005"/>
    <s v="New"/>
    <n v="0.09"/>
    <x v="2"/>
    <x v="0"/>
    <s v="North-Alice"/>
    <n v="233.64000000000033"/>
    <n v="99504.6"/>
    <n v="4672.8000000000065"/>
  </r>
  <r>
    <n v="1034"/>
    <x v="88"/>
    <x v="2"/>
    <x v="1"/>
    <n v="2842.42"/>
    <n v="45"/>
    <x v="1"/>
    <n v="2013.12"/>
    <n v="2321.87"/>
    <s v="New"/>
    <n v="0.18"/>
    <x v="1"/>
    <x v="1"/>
    <s v="West-Charlie"/>
    <n v="308.75"/>
    <n v="104484.15"/>
    <n v="13893.75"/>
  </r>
  <r>
    <n v="1092"/>
    <x v="116"/>
    <x v="0"/>
    <x v="3"/>
    <n v="9220.94"/>
    <n v="20"/>
    <x v="1"/>
    <n v="668.11"/>
    <n v="803.49"/>
    <s v="New"/>
    <n v="0.21"/>
    <x v="1"/>
    <x v="0"/>
    <s v="East-Bob"/>
    <n v="135.38"/>
    <n v="16069.8"/>
    <n v="2707.6"/>
  </r>
  <r>
    <n v="1095"/>
    <x v="328"/>
    <x v="2"/>
    <x v="3"/>
    <n v="5873.59"/>
    <n v="9"/>
    <x v="1"/>
    <n v="2650.95"/>
    <n v="2860.4199999999996"/>
    <s v="New"/>
    <n v="0.12"/>
    <x v="0"/>
    <x v="1"/>
    <s v="East-Charlie"/>
    <n v="209.4699999999998"/>
    <n v="25743.779999999995"/>
    <n v="1885.2299999999982"/>
  </r>
  <r>
    <n v="1072"/>
    <x v="117"/>
    <x v="1"/>
    <x v="1"/>
    <n v="5969.12"/>
    <n v="39"/>
    <x v="2"/>
    <n v="591.98"/>
    <n v="934.04"/>
    <s v="New"/>
    <n v="0.26"/>
    <x v="1"/>
    <x v="1"/>
    <s v="West-David"/>
    <n v="342.05999999999995"/>
    <n v="36427.56"/>
    <n v="13340.339999999998"/>
  </r>
  <r>
    <n v="1039"/>
    <x v="202"/>
    <x v="3"/>
    <x v="2"/>
    <n v="3613.75"/>
    <n v="4"/>
    <x v="3"/>
    <n v="1054.1199999999999"/>
    <n v="1175.2199999999998"/>
    <s v="Returning"/>
    <n v="0.12"/>
    <x v="1"/>
    <x v="1"/>
    <s v="South-Eve"/>
    <n v="121.09999999999991"/>
    <n v="4700.8799999999992"/>
    <n v="484.39999999999964"/>
  </r>
  <r>
    <n v="1026"/>
    <x v="323"/>
    <x v="0"/>
    <x v="3"/>
    <n v="614.69000000000005"/>
    <n v="19"/>
    <x v="3"/>
    <n v="4991.68"/>
    <n v="5296.6500000000015"/>
    <s v="New"/>
    <n v="0.12"/>
    <x v="1"/>
    <x v="0"/>
    <s v="East-Bob"/>
    <n v="304.97000000000116"/>
    <n v="100636.35000000003"/>
    <n v="5794.4300000000221"/>
  </r>
  <r>
    <n v="1034"/>
    <x v="242"/>
    <x v="0"/>
    <x v="3"/>
    <n v="414.26"/>
    <n v="38"/>
    <x v="1"/>
    <n v="2729.75"/>
    <n v="3081.5"/>
    <s v="New"/>
    <n v="0.01"/>
    <x v="1"/>
    <x v="0"/>
    <s v="East-Bob"/>
    <n v="351.75"/>
    <n v="117097"/>
    <n v="13366.5"/>
  </r>
  <r>
    <n v="1054"/>
    <x v="329"/>
    <x v="1"/>
    <x v="1"/>
    <n v="4291.0200000000004"/>
    <n v="27"/>
    <x v="3"/>
    <n v="1456.09"/>
    <n v="1510.4299999999998"/>
    <s v="Returning"/>
    <n v="0.17"/>
    <x v="0"/>
    <x v="1"/>
    <s v="West-David"/>
    <n v="54.339999999999918"/>
    <n v="40781.609999999993"/>
    <n v="1467.1799999999978"/>
  </r>
  <r>
    <n v="1003"/>
    <x v="330"/>
    <x v="4"/>
    <x v="3"/>
    <n v="937.2"/>
    <n v="45"/>
    <x v="3"/>
    <n v="4974.1400000000003"/>
    <n v="5227.93"/>
    <s v="New"/>
    <n v="0.21"/>
    <x v="1"/>
    <x v="0"/>
    <s v="East-Alice"/>
    <n v="253.78999999999996"/>
    <n v="235256.85"/>
    <n v="11420.55"/>
  </r>
  <r>
    <n v="1050"/>
    <x v="271"/>
    <x v="3"/>
    <x v="2"/>
    <n v="6107.78"/>
    <n v="43"/>
    <x v="0"/>
    <n v="4834.47"/>
    <n v="4973.38"/>
    <s v="Returning"/>
    <n v="0.03"/>
    <x v="1"/>
    <x v="0"/>
    <s v="South-Eve"/>
    <n v="138.90999999999985"/>
    <n v="213855.34"/>
    <n v="5973.1299999999937"/>
  </r>
  <r>
    <n v="1012"/>
    <x v="89"/>
    <x v="0"/>
    <x v="1"/>
    <n v="8821.6299999999992"/>
    <n v="13"/>
    <x v="3"/>
    <n v="2231.66"/>
    <n v="2596.6099999999997"/>
    <s v="Returning"/>
    <n v="0.09"/>
    <x v="1"/>
    <x v="1"/>
    <s v="West-Bob"/>
    <n v="364.94999999999982"/>
    <n v="33755.929999999993"/>
    <n v="4744.3499999999976"/>
  </r>
  <r>
    <n v="1065"/>
    <x v="252"/>
    <x v="3"/>
    <x v="2"/>
    <n v="8840.86"/>
    <n v="13"/>
    <x v="0"/>
    <n v="1339"/>
    <n v="1441.88"/>
    <s v="Returning"/>
    <n v="0.23"/>
    <x v="2"/>
    <x v="1"/>
    <s v="South-Eve"/>
    <n v="102.88000000000011"/>
    <n v="18744.440000000002"/>
    <n v="1337.4400000000014"/>
  </r>
  <r>
    <n v="1054"/>
    <x v="331"/>
    <x v="0"/>
    <x v="3"/>
    <n v="6624.55"/>
    <n v="22"/>
    <x v="3"/>
    <n v="4200.08"/>
    <n v="4647.28"/>
    <s v="Returning"/>
    <n v="0.11"/>
    <x v="0"/>
    <x v="0"/>
    <s v="East-Bob"/>
    <n v="447.19999999999982"/>
    <n v="102240.15999999999"/>
    <n v="9838.399999999996"/>
  </r>
  <r>
    <n v="1005"/>
    <x v="94"/>
    <x v="3"/>
    <x v="3"/>
    <n v="2191.1999999999998"/>
    <n v="28"/>
    <x v="2"/>
    <n v="3592.32"/>
    <n v="3813.48"/>
    <s v="New"/>
    <n v="7.0000000000000007E-2"/>
    <x v="2"/>
    <x v="1"/>
    <s v="East-Eve"/>
    <n v="221.15999999999985"/>
    <n v="106777.44"/>
    <n v="6192.4799999999959"/>
  </r>
  <r>
    <n v="1094"/>
    <x v="247"/>
    <x v="2"/>
    <x v="2"/>
    <n v="8643.67"/>
    <n v="47"/>
    <x v="1"/>
    <n v="3450.36"/>
    <n v="3557.38"/>
    <s v="New"/>
    <n v="0.2"/>
    <x v="2"/>
    <x v="0"/>
    <s v="South-Charlie"/>
    <n v="107.01999999999998"/>
    <n v="167196.86000000002"/>
    <n v="5029.9399999999987"/>
  </r>
  <r>
    <n v="1094"/>
    <x v="120"/>
    <x v="0"/>
    <x v="0"/>
    <n v="8872.33"/>
    <n v="45"/>
    <x v="0"/>
    <n v="4470.91"/>
    <n v="4695.54"/>
    <s v="Returning"/>
    <n v="0.06"/>
    <x v="0"/>
    <x v="1"/>
    <s v="North-Bob"/>
    <n v="224.63000000000011"/>
    <n v="211299.3"/>
    <n v="10108.350000000006"/>
  </r>
  <r>
    <n v="1057"/>
    <x v="115"/>
    <x v="3"/>
    <x v="3"/>
    <n v="2046.87"/>
    <n v="22"/>
    <x v="1"/>
    <n v="3462.61"/>
    <n v="3672.8900000000003"/>
    <s v="Returning"/>
    <n v="0.27"/>
    <x v="2"/>
    <x v="0"/>
    <s v="East-Eve"/>
    <n v="210.2800000000002"/>
    <n v="80803.58"/>
    <n v="4626.1600000000044"/>
  </r>
  <r>
    <n v="1017"/>
    <x v="195"/>
    <x v="4"/>
    <x v="0"/>
    <n v="7400.52"/>
    <n v="43"/>
    <x v="0"/>
    <n v="1454.8"/>
    <n v="1674.97"/>
    <s v="New"/>
    <n v="0.03"/>
    <x v="2"/>
    <x v="0"/>
    <s v="North-Alice"/>
    <n v="220.17000000000007"/>
    <n v="72023.710000000006"/>
    <n v="9467.3100000000031"/>
  </r>
  <r>
    <n v="1047"/>
    <x v="311"/>
    <x v="2"/>
    <x v="3"/>
    <n v="2936.54"/>
    <n v="19"/>
    <x v="0"/>
    <n v="3484.62"/>
    <n v="3781.5499999999997"/>
    <s v="Returning"/>
    <n v="0.21"/>
    <x v="2"/>
    <x v="1"/>
    <s v="East-Charlie"/>
    <n v="296.92999999999984"/>
    <n v="71849.45"/>
    <n v="5641.6699999999964"/>
  </r>
  <r>
    <n v="1023"/>
    <x v="80"/>
    <x v="2"/>
    <x v="0"/>
    <n v="8046.14"/>
    <n v="8"/>
    <x v="0"/>
    <n v="1563.78"/>
    <n v="1829.1599999999999"/>
    <s v="Returning"/>
    <n v="0.15"/>
    <x v="0"/>
    <x v="0"/>
    <s v="North-Charlie"/>
    <n v="265.37999999999988"/>
    <n v="14633.279999999999"/>
    <n v="2123.0399999999991"/>
  </r>
  <r>
    <n v="1079"/>
    <x v="3"/>
    <x v="4"/>
    <x v="0"/>
    <n v="9972.66"/>
    <n v="8"/>
    <x v="2"/>
    <n v="3808.23"/>
    <n v="3891.62"/>
    <s v="Returning"/>
    <n v="0.26"/>
    <x v="1"/>
    <x v="0"/>
    <s v="North-Alice"/>
    <n v="83.389999999999873"/>
    <n v="31132.959999999999"/>
    <n v="667.11999999999898"/>
  </r>
  <r>
    <n v="1085"/>
    <x v="282"/>
    <x v="3"/>
    <x v="0"/>
    <n v="397.26"/>
    <n v="42"/>
    <x v="3"/>
    <n v="3117.75"/>
    <n v="3159.88"/>
    <s v="New"/>
    <n v="0.04"/>
    <x v="0"/>
    <x v="1"/>
    <s v="North-Eve"/>
    <n v="42.130000000000109"/>
    <n v="132714.96"/>
    <n v="1769.4600000000046"/>
  </r>
  <r>
    <n v="1014"/>
    <x v="132"/>
    <x v="1"/>
    <x v="2"/>
    <n v="8983.92"/>
    <n v="26"/>
    <x v="0"/>
    <n v="433.19"/>
    <n v="800.6"/>
    <s v="Returning"/>
    <n v="0.2"/>
    <x v="0"/>
    <x v="0"/>
    <s v="South-David"/>
    <n v="367.41"/>
    <n v="20815.600000000002"/>
    <n v="9552.66"/>
  </r>
  <r>
    <n v="1066"/>
    <x v="230"/>
    <x v="4"/>
    <x v="0"/>
    <n v="6264.04"/>
    <n v="48"/>
    <x v="2"/>
    <n v="2588.54"/>
    <n v="2872.8"/>
    <s v="New"/>
    <n v="0.17"/>
    <x v="0"/>
    <x v="0"/>
    <s v="North-Alice"/>
    <n v="284.26000000000022"/>
    <n v="137894.40000000002"/>
    <n v="13644.48000000001"/>
  </r>
  <r>
    <n v="1075"/>
    <x v="196"/>
    <x v="3"/>
    <x v="0"/>
    <n v="9736.49"/>
    <n v="26"/>
    <x v="0"/>
    <n v="1749.34"/>
    <n v="1935.25"/>
    <s v="New"/>
    <n v="0.14000000000000001"/>
    <x v="2"/>
    <x v="0"/>
    <s v="North-Eve"/>
    <n v="185.91000000000008"/>
    <n v="50316.5"/>
    <n v="4833.6600000000017"/>
  </r>
  <r>
    <n v="1051"/>
    <x v="78"/>
    <x v="4"/>
    <x v="0"/>
    <n v="4703.59"/>
    <n v="23"/>
    <x v="3"/>
    <n v="1676.42"/>
    <n v="2082.52"/>
    <s v="New"/>
    <n v="0.15"/>
    <x v="1"/>
    <x v="1"/>
    <s v="North-Alice"/>
    <n v="406.09999999999991"/>
    <n v="47897.96"/>
    <n v="9340.2999999999975"/>
  </r>
  <r>
    <n v="1038"/>
    <x v="159"/>
    <x v="4"/>
    <x v="3"/>
    <n v="8489.14"/>
    <n v="43"/>
    <x v="0"/>
    <n v="3031.17"/>
    <n v="3231.32"/>
    <s v="Returning"/>
    <n v="0.22"/>
    <x v="0"/>
    <x v="1"/>
    <s v="East-Alice"/>
    <n v="200.15000000000009"/>
    <n v="138946.76"/>
    <n v="8606.4500000000044"/>
  </r>
  <r>
    <n v="1064"/>
    <x v="167"/>
    <x v="0"/>
    <x v="0"/>
    <n v="717.7"/>
    <n v="13"/>
    <x v="2"/>
    <n v="1645.51"/>
    <n v="2045.53"/>
    <s v="Returning"/>
    <n v="0.28000000000000003"/>
    <x v="0"/>
    <x v="1"/>
    <s v="North-Bob"/>
    <n v="400.02"/>
    <n v="26591.89"/>
    <n v="5200.26"/>
  </r>
  <r>
    <n v="1098"/>
    <x v="176"/>
    <x v="3"/>
    <x v="3"/>
    <n v="3419.26"/>
    <n v="28"/>
    <x v="3"/>
    <n v="3895.62"/>
    <n v="4055.44"/>
    <s v="New"/>
    <n v="0.03"/>
    <x v="1"/>
    <x v="1"/>
    <s v="East-Eve"/>
    <n v="159.82000000000016"/>
    <n v="113552.32000000001"/>
    <n v="4474.9600000000046"/>
  </r>
  <r>
    <n v="1038"/>
    <x v="287"/>
    <x v="1"/>
    <x v="0"/>
    <n v="763.46"/>
    <n v="9"/>
    <x v="2"/>
    <n v="400.42"/>
    <n v="446.11"/>
    <s v="New"/>
    <n v="0.01"/>
    <x v="1"/>
    <x v="1"/>
    <s v="North-David"/>
    <n v="45.69"/>
    <n v="4014.9900000000002"/>
    <n v="411.21"/>
  </r>
  <r>
    <n v="1050"/>
    <x v="248"/>
    <x v="0"/>
    <x v="0"/>
    <n v="9755.9"/>
    <n v="20"/>
    <x v="3"/>
    <n v="3318.92"/>
    <n v="3785.91"/>
    <s v="New"/>
    <n v="0.24"/>
    <x v="1"/>
    <x v="0"/>
    <s v="North-Bob"/>
    <n v="466.98999999999978"/>
    <n v="75718.2"/>
    <n v="9339.7999999999956"/>
  </r>
  <r>
    <n v="1098"/>
    <x v="332"/>
    <x v="4"/>
    <x v="2"/>
    <n v="8188.04"/>
    <n v="19"/>
    <x v="3"/>
    <n v="4055.51"/>
    <n v="4258.84"/>
    <s v="Returning"/>
    <n v="0.03"/>
    <x v="2"/>
    <x v="0"/>
    <s v="South-Alice"/>
    <n v="203.32999999999993"/>
    <n v="80917.960000000006"/>
    <n v="3863.2699999999986"/>
  </r>
  <r>
    <n v="1082"/>
    <x v="229"/>
    <x v="4"/>
    <x v="3"/>
    <n v="8540.2199999999993"/>
    <n v="48"/>
    <x v="1"/>
    <n v="3380.52"/>
    <n v="3778.94"/>
    <s v="Returning"/>
    <n v="0.3"/>
    <x v="1"/>
    <x v="0"/>
    <s v="East-Alice"/>
    <n v="398.42000000000007"/>
    <n v="181389.12"/>
    <n v="19124.160000000003"/>
  </r>
  <r>
    <n v="1030"/>
    <x v="287"/>
    <x v="4"/>
    <x v="0"/>
    <n v="9385.86"/>
    <n v="39"/>
    <x v="1"/>
    <n v="2511.2800000000002"/>
    <n v="2658.0600000000004"/>
    <s v="New"/>
    <n v="0.19"/>
    <x v="2"/>
    <x v="1"/>
    <s v="North-Alice"/>
    <n v="146.7800000000002"/>
    <n v="103664.34000000001"/>
    <n v="5724.4200000000073"/>
  </r>
  <r>
    <n v="1079"/>
    <x v="17"/>
    <x v="3"/>
    <x v="3"/>
    <n v="942.52"/>
    <n v="12"/>
    <x v="1"/>
    <n v="4754.0200000000004"/>
    <n v="5080.7400000000007"/>
    <s v="New"/>
    <n v="0.2"/>
    <x v="0"/>
    <x v="0"/>
    <s v="East-Eve"/>
    <n v="326.72000000000025"/>
    <n v="60968.880000000005"/>
    <n v="3920.6400000000031"/>
  </r>
  <r>
    <n v="1091"/>
    <x v="278"/>
    <x v="3"/>
    <x v="3"/>
    <n v="3917.42"/>
    <n v="15"/>
    <x v="3"/>
    <n v="1534.7"/>
    <n v="1972.6200000000001"/>
    <s v="Returning"/>
    <n v="0.06"/>
    <x v="2"/>
    <x v="1"/>
    <s v="East-Eve"/>
    <n v="437.92000000000007"/>
    <n v="29589.300000000003"/>
    <n v="6568.8000000000011"/>
  </r>
  <r>
    <n v="1051"/>
    <x v="10"/>
    <x v="0"/>
    <x v="1"/>
    <n v="803.25"/>
    <n v="31"/>
    <x v="0"/>
    <n v="144.88"/>
    <n v="175.29"/>
    <s v="New"/>
    <n v="7.0000000000000007E-2"/>
    <x v="1"/>
    <x v="0"/>
    <s v="West-Bob"/>
    <n v="30.409999999999997"/>
    <n v="5433.99"/>
    <n v="942.70999999999992"/>
  </r>
  <r>
    <n v="1063"/>
    <x v="292"/>
    <x v="1"/>
    <x v="2"/>
    <n v="2186.85"/>
    <n v="14"/>
    <x v="2"/>
    <n v="2188.35"/>
    <n v="2605.3599999999997"/>
    <s v="Returning"/>
    <n v="0.2"/>
    <x v="2"/>
    <x v="1"/>
    <s v="South-David"/>
    <n v="417.00999999999976"/>
    <n v="36475.039999999994"/>
    <n v="5838.1399999999967"/>
  </r>
  <r>
    <n v="1052"/>
    <x v="25"/>
    <x v="2"/>
    <x v="2"/>
    <n v="4744.16"/>
    <n v="26"/>
    <x v="2"/>
    <n v="4771.99"/>
    <n v="5079.6499999999996"/>
    <s v="New"/>
    <n v="0.28999999999999998"/>
    <x v="2"/>
    <x v="0"/>
    <s v="South-Charlie"/>
    <n v="307.65999999999985"/>
    <n v="132070.9"/>
    <n v="7999.1599999999962"/>
  </r>
  <r>
    <n v="1038"/>
    <x v="196"/>
    <x v="4"/>
    <x v="1"/>
    <n v="2758.77"/>
    <n v="42"/>
    <x v="1"/>
    <n v="1089.0899999999999"/>
    <n v="1355.44"/>
    <s v="New"/>
    <n v="0.06"/>
    <x v="0"/>
    <x v="1"/>
    <s v="West-Alice"/>
    <n v="266.35000000000014"/>
    <n v="56928.480000000003"/>
    <n v="11186.700000000006"/>
  </r>
  <r>
    <n v="1097"/>
    <x v="188"/>
    <x v="4"/>
    <x v="1"/>
    <n v="1099.68"/>
    <n v="27"/>
    <x v="3"/>
    <n v="3955.19"/>
    <n v="4393.68"/>
    <s v="Returning"/>
    <n v="0.04"/>
    <x v="2"/>
    <x v="0"/>
    <s v="West-Alice"/>
    <n v="438.49000000000024"/>
    <n v="118629.36000000002"/>
    <n v="11839.230000000007"/>
  </r>
  <r>
    <n v="1088"/>
    <x v="142"/>
    <x v="4"/>
    <x v="2"/>
    <n v="1758.16"/>
    <n v="11"/>
    <x v="1"/>
    <n v="3884.13"/>
    <n v="3915.4100000000003"/>
    <s v="Returning"/>
    <n v="0.02"/>
    <x v="0"/>
    <x v="0"/>
    <s v="South-Alice"/>
    <n v="31.2800000000002"/>
    <n v="43069.51"/>
    <n v="344.0800000000022"/>
  </r>
  <r>
    <n v="1079"/>
    <x v="274"/>
    <x v="0"/>
    <x v="1"/>
    <n v="1558.03"/>
    <n v="38"/>
    <x v="0"/>
    <n v="1127.76"/>
    <n v="1265.6600000000001"/>
    <s v="Returning"/>
    <n v="0.26"/>
    <x v="1"/>
    <x v="1"/>
    <s v="West-Bob"/>
    <n v="137.90000000000009"/>
    <n v="48095.08"/>
    <n v="5240.2000000000035"/>
  </r>
  <r>
    <n v="1030"/>
    <x v="261"/>
    <x v="0"/>
    <x v="1"/>
    <n v="9733.4599999999991"/>
    <n v="34"/>
    <x v="3"/>
    <n v="3125.07"/>
    <n v="3564.19"/>
    <s v="Returning"/>
    <n v="0.09"/>
    <x v="0"/>
    <x v="0"/>
    <s v="West-Bob"/>
    <n v="439.11999999999989"/>
    <n v="121182.46"/>
    <n v="14930.079999999996"/>
  </r>
  <r>
    <n v="1051"/>
    <x v="15"/>
    <x v="4"/>
    <x v="1"/>
    <n v="7617"/>
    <n v="43"/>
    <x v="2"/>
    <n v="287.99"/>
    <n v="666.64"/>
    <s v="Returning"/>
    <n v="0"/>
    <x v="1"/>
    <x v="0"/>
    <s v="West-Alice"/>
    <n v="378.65"/>
    <n v="28665.52"/>
    <n v="16281.949999999999"/>
  </r>
  <r>
    <n v="1081"/>
    <x v="264"/>
    <x v="0"/>
    <x v="2"/>
    <n v="9680.84"/>
    <n v="19"/>
    <x v="1"/>
    <n v="2443.69"/>
    <n v="2462.34"/>
    <s v="New"/>
    <n v="7.0000000000000007E-2"/>
    <x v="1"/>
    <x v="1"/>
    <s v="South-Bob"/>
    <n v="18.650000000000091"/>
    <n v="46784.460000000006"/>
    <n v="354.35000000000173"/>
  </r>
  <r>
    <n v="1005"/>
    <x v="91"/>
    <x v="3"/>
    <x v="2"/>
    <n v="4453.43"/>
    <n v="6"/>
    <x v="1"/>
    <n v="122.5"/>
    <n v="385.83"/>
    <s v="Returning"/>
    <n v="0.1"/>
    <x v="0"/>
    <x v="1"/>
    <s v="South-Eve"/>
    <n v="263.33"/>
    <n v="2314.98"/>
    <n v="1579.98"/>
  </r>
  <r>
    <n v="1029"/>
    <x v="159"/>
    <x v="3"/>
    <x v="2"/>
    <n v="2855.85"/>
    <n v="46"/>
    <x v="0"/>
    <n v="4609.66"/>
    <n v="4879.1499999999996"/>
    <s v="Returning"/>
    <n v="0.3"/>
    <x v="0"/>
    <x v="1"/>
    <s v="South-Eve"/>
    <n v="269.48999999999978"/>
    <n v="224440.9"/>
    <n v="12396.53999999999"/>
  </r>
  <r>
    <n v="1004"/>
    <x v="109"/>
    <x v="0"/>
    <x v="1"/>
    <n v="8003.1"/>
    <n v="38"/>
    <x v="0"/>
    <n v="4881.63"/>
    <n v="5088.0600000000004"/>
    <s v="Returning"/>
    <n v="0.16"/>
    <x v="2"/>
    <x v="1"/>
    <s v="West-Bob"/>
    <n v="206.43000000000029"/>
    <n v="193346.28000000003"/>
    <n v="7844.3400000000111"/>
  </r>
  <r>
    <n v="1010"/>
    <x v="209"/>
    <x v="4"/>
    <x v="2"/>
    <n v="3329.91"/>
    <n v="49"/>
    <x v="1"/>
    <n v="1150.3"/>
    <n v="1306.02"/>
    <s v="New"/>
    <n v="0.06"/>
    <x v="2"/>
    <x v="1"/>
    <s v="South-Alice"/>
    <n v="155.72000000000003"/>
    <n v="63994.979999999996"/>
    <n v="7630.2800000000016"/>
  </r>
  <r>
    <n v="1056"/>
    <x v="240"/>
    <x v="0"/>
    <x v="1"/>
    <n v="3063.9"/>
    <n v="42"/>
    <x v="0"/>
    <n v="1080.1199999999999"/>
    <n v="1424.1699999999998"/>
    <s v="New"/>
    <n v="0.1"/>
    <x v="0"/>
    <x v="0"/>
    <s v="West-Bob"/>
    <n v="344.04999999999995"/>
    <n v="59815.139999999992"/>
    <n v="14450.099999999999"/>
  </r>
  <r>
    <n v="1017"/>
    <x v="85"/>
    <x v="0"/>
    <x v="0"/>
    <n v="2401.81"/>
    <n v="28"/>
    <x v="2"/>
    <n v="3780.91"/>
    <n v="3892.73"/>
    <s v="Returning"/>
    <n v="0.1"/>
    <x v="0"/>
    <x v="1"/>
    <s v="North-Bob"/>
    <n v="111.82000000000016"/>
    <n v="108996.44"/>
    <n v="3130.9600000000046"/>
  </r>
  <r>
    <n v="1074"/>
    <x v="247"/>
    <x v="0"/>
    <x v="1"/>
    <n v="1383.82"/>
    <n v="1"/>
    <x v="0"/>
    <n v="1304.23"/>
    <n v="1705.71"/>
    <s v="Returning"/>
    <n v="0.01"/>
    <x v="0"/>
    <x v="1"/>
    <s v="West-Bob"/>
    <n v="401.48"/>
    <n v="1705.71"/>
    <n v="401.48"/>
  </r>
  <r>
    <n v="1017"/>
    <x v="293"/>
    <x v="2"/>
    <x v="3"/>
    <n v="2638.98"/>
    <n v="35"/>
    <x v="0"/>
    <n v="4480.63"/>
    <n v="4884.12"/>
    <s v="New"/>
    <n v="0.04"/>
    <x v="0"/>
    <x v="0"/>
    <s v="East-Charlie"/>
    <n v="403.48999999999978"/>
    <n v="170944.19999999998"/>
    <n v="14122.149999999992"/>
  </r>
  <r>
    <n v="1084"/>
    <x v="269"/>
    <x v="3"/>
    <x v="2"/>
    <n v="3617.67"/>
    <n v="40"/>
    <x v="1"/>
    <n v="2890.95"/>
    <n v="3104.43"/>
    <s v="New"/>
    <n v="0.21"/>
    <x v="1"/>
    <x v="0"/>
    <s v="South-Eve"/>
    <n v="213.48000000000002"/>
    <n v="124177.2"/>
    <n v="8539.2000000000007"/>
  </r>
  <r>
    <n v="1088"/>
    <x v="249"/>
    <x v="1"/>
    <x v="2"/>
    <n v="6772.54"/>
    <n v="8"/>
    <x v="1"/>
    <n v="1786.35"/>
    <n v="1935.29"/>
    <s v="New"/>
    <n v="0.04"/>
    <x v="0"/>
    <x v="0"/>
    <s v="South-David"/>
    <n v="148.94000000000005"/>
    <n v="15482.32"/>
    <n v="1191.5200000000004"/>
  </r>
  <r>
    <n v="1069"/>
    <x v="126"/>
    <x v="1"/>
    <x v="3"/>
    <n v="719.39"/>
    <n v="47"/>
    <x v="3"/>
    <n v="4171.83"/>
    <n v="4320.93"/>
    <s v="New"/>
    <n v="7.0000000000000007E-2"/>
    <x v="0"/>
    <x v="0"/>
    <s v="East-David"/>
    <n v="149.10000000000036"/>
    <n v="203083.71000000002"/>
    <n v="7007.7000000000171"/>
  </r>
  <r>
    <n v="1034"/>
    <x v="154"/>
    <x v="2"/>
    <x v="1"/>
    <n v="2184.02"/>
    <n v="7"/>
    <x v="3"/>
    <n v="2492.36"/>
    <n v="2738.6800000000003"/>
    <s v="Returning"/>
    <n v="0.11"/>
    <x v="0"/>
    <x v="0"/>
    <s v="West-Charlie"/>
    <n v="246.32000000000016"/>
    <n v="19170.760000000002"/>
    <n v="1724.2400000000011"/>
  </r>
  <r>
    <n v="1006"/>
    <x v="141"/>
    <x v="0"/>
    <x v="0"/>
    <n v="8109.33"/>
    <n v="11"/>
    <x v="1"/>
    <n v="4562.58"/>
    <n v="4925.17"/>
    <s v="New"/>
    <n v="0.23"/>
    <x v="0"/>
    <x v="1"/>
    <s v="North-Bob"/>
    <n v="362.59000000000015"/>
    <n v="54176.87"/>
    <n v="3988.4900000000016"/>
  </r>
  <r>
    <n v="1053"/>
    <x v="67"/>
    <x v="2"/>
    <x v="3"/>
    <n v="1554.53"/>
    <n v="39"/>
    <x v="0"/>
    <n v="4643.67"/>
    <n v="4829.5200000000004"/>
    <s v="Returning"/>
    <n v="0.17"/>
    <x v="1"/>
    <x v="0"/>
    <s v="East-Charlie"/>
    <n v="185.85000000000036"/>
    <n v="188351.28000000003"/>
    <n v="7248.1500000000142"/>
  </r>
  <r>
    <n v="1066"/>
    <x v="166"/>
    <x v="2"/>
    <x v="3"/>
    <n v="3492.19"/>
    <n v="4"/>
    <x v="0"/>
    <n v="868.83"/>
    <n v="1177.75"/>
    <s v="Returning"/>
    <n v="0.21"/>
    <x v="2"/>
    <x v="1"/>
    <s v="East-Charlie"/>
    <n v="308.91999999999996"/>
    <n v="4711"/>
    <n v="1235.6799999999998"/>
  </r>
  <r>
    <n v="1077"/>
    <x v="317"/>
    <x v="4"/>
    <x v="1"/>
    <n v="8660.1200000000008"/>
    <n v="25"/>
    <x v="3"/>
    <n v="61.5"/>
    <n v="258.91999999999996"/>
    <s v="New"/>
    <n v="0.17"/>
    <x v="2"/>
    <x v="0"/>
    <s v="West-Alice"/>
    <n v="197.41999999999996"/>
    <n v="6472.9999999999991"/>
    <n v="4935.4999999999991"/>
  </r>
  <r>
    <n v="1043"/>
    <x v="111"/>
    <x v="3"/>
    <x v="2"/>
    <n v="1633.76"/>
    <n v="12"/>
    <x v="3"/>
    <n v="4920.46"/>
    <n v="5079.68"/>
    <s v="New"/>
    <n v="0.21"/>
    <x v="2"/>
    <x v="1"/>
    <s v="South-Eve"/>
    <n v="159.22000000000025"/>
    <n v="60956.160000000003"/>
    <n v="1910.6400000000031"/>
  </r>
  <r>
    <n v="1075"/>
    <x v="218"/>
    <x v="1"/>
    <x v="1"/>
    <n v="919.09"/>
    <n v="26"/>
    <x v="3"/>
    <n v="4535.38"/>
    <n v="4557.5600000000004"/>
    <s v="New"/>
    <n v="0"/>
    <x v="2"/>
    <x v="0"/>
    <s v="West-David"/>
    <n v="22.180000000000291"/>
    <n v="118496.56000000001"/>
    <n v="576.68000000000757"/>
  </r>
  <r>
    <n v="1023"/>
    <x v="53"/>
    <x v="0"/>
    <x v="3"/>
    <n v="4896.93"/>
    <n v="38"/>
    <x v="2"/>
    <n v="324.45"/>
    <n v="336.37"/>
    <s v="New"/>
    <n v="0.28000000000000003"/>
    <x v="2"/>
    <x v="1"/>
    <s v="East-Bob"/>
    <n v="11.920000000000016"/>
    <n v="12782.06"/>
    <n v="452.9600000000006"/>
  </r>
  <r>
    <n v="1055"/>
    <x v="15"/>
    <x v="1"/>
    <x v="3"/>
    <n v="3093.95"/>
    <n v="46"/>
    <x v="2"/>
    <n v="4173.5200000000004"/>
    <n v="4294.8500000000004"/>
    <s v="Returning"/>
    <n v="0.03"/>
    <x v="1"/>
    <x v="1"/>
    <s v="East-David"/>
    <n v="121.32999999999993"/>
    <n v="197563.1"/>
    <n v="5581.1799999999967"/>
  </r>
  <r>
    <n v="1080"/>
    <x v="313"/>
    <x v="1"/>
    <x v="2"/>
    <n v="5677.74"/>
    <n v="12"/>
    <x v="3"/>
    <n v="2316.13"/>
    <n v="2525.27"/>
    <s v="Returning"/>
    <n v="0.12"/>
    <x v="2"/>
    <x v="1"/>
    <s v="South-David"/>
    <n v="209.13999999999987"/>
    <n v="30303.239999999998"/>
    <n v="2509.6799999999985"/>
  </r>
  <r>
    <n v="1095"/>
    <x v="312"/>
    <x v="3"/>
    <x v="2"/>
    <n v="8057.67"/>
    <n v="43"/>
    <x v="0"/>
    <n v="1331.86"/>
    <n v="1758.98"/>
    <s v="Returning"/>
    <n v="0.23"/>
    <x v="1"/>
    <x v="1"/>
    <s v="South-Eve"/>
    <n v="427.12000000000012"/>
    <n v="75636.14"/>
    <n v="18366.160000000003"/>
  </r>
  <r>
    <n v="1075"/>
    <x v="333"/>
    <x v="1"/>
    <x v="2"/>
    <n v="1457.77"/>
    <n v="37"/>
    <x v="3"/>
    <n v="4399.8"/>
    <n v="4801.0600000000004"/>
    <s v="New"/>
    <n v="0.13"/>
    <x v="1"/>
    <x v="1"/>
    <s v="South-David"/>
    <n v="401.26000000000022"/>
    <n v="177639.22"/>
    <n v="14846.620000000008"/>
  </r>
  <r>
    <n v="1016"/>
    <x v="168"/>
    <x v="1"/>
    <x v="1"/>
    <n v="5848.92"/>
    <n v="46"/>
    <x v="2"/>
    <n v="1023.5"/>
    <n v="1164.4100000000001"/>
    <s v="Returning"/>
    <n v="0.28000000000000003"/>
    <x v="2"/>
    <x v="1"/>
    <s v="West-David"/>
    <n v="140.91000000000008"/>
    <n v="53562.86"/>
    <n v="6481.8600000000042"/>
  </r>
  <r>
    <n v="1008"/>
    <x v="273"/>
    <x v="2"/>
    <x v="2"/>
    <n v="5104.54"/>
    <n v="24"/>
    <x v="0"/>
    <n v="4739.13"/>
    <n v="4868.95"/>
    <s v="New"/>
    <n v="0.14000000000000001"/>
    <x v="2"/>
    <x v="1"/>
    <s v="South-Charlie"/>
    <n v="129.81999999999971"/>
    <n v="116854.79999999999"/>
    <n v="3115.679999999993"/>
  </r>
  <r>
    <n v="1004"/>
    <x v="43"/>
    <x v="3"/>
    <x v="3"/>
    <n v="1526.38"/>
    <n v="16"/>
    <x v="2"/>
    <n v="1067.83"/>
    <n v="1189.22"/>
    <s v="Returning"/>
    <n v="0.26"/>
    <x v="2"/>
    <x v="1"/>
    <s v="East-Eve"/>
    <n v="121.3900000000001"/>
    <n v="19027.52"/>
    <n v="1942.2400000000016"/>
  </r>
  <r>
    <n v="1004"/>
    <x v="196"/>
    <x v="4"/>
    <x v="3"/>
    <n v="6277.59"/>
    <n v="13"/>
    <x v="0"/>
    <n v="3087.73"/>
    <n v="3263.96"/>
    <s v="New"/>
    <n v="0.24"/>
    <x v="0"/>
    <x v="1"/>
    <s v="East-Alice"/>
    <n v="176.23000000000002"/>
    <n v="42431.48"/>
    <n v="2290.9900000000002"/>
  </r>
  <r>
    <n v="1056"/>
    <x v="197"/>
    <x v="0"/>
    <x v="0"/>
    <n v="2809.04"/>
    <n v="25"/>
    <x v="2"/>
    <n v="1154.28"/>
    <n v="1408.4"/>
    <s v="Returning"/>
    <n v="0.28999999999999998"/>
    <x v="1"/>
    <x v="1"/>
    <s v="North-Bob"/>
    <n v="254.12000000000012"/>
    <n v="35210"/>
    <n v="6353.0000000000027"/>
  </r>
  <r>
    <n v="1025"/>
    <x v="59"/>
    <x v="1"/>
    <x v="1"/>
    <n v="4929.5600000000004"/>
    <n v="4"/>
    <x v="0"/>
    <n v="2751.06"/>
    <n v="2976.0099999999998"/>
    <s v="Returning"/>
    <n v="0.28000000000000003"/>
    <x v="2"/>
    <x v="0"/>
    <s v="West-David"/>
    <n v="224.94999999999982"/>
    <n v="11904.039999999999"/>
    <n v="899.79999999999927"/>
  </r>
  <r>
    <n v="1067"/>
    <x v="329"/>
    <x v="0"/>
    <x v="0"/>
    <n v="914.5"/>
    <n v="11"/>
    <x v="0"/>
    <n v="3435.68"/>
    <n v="3552.6299999999997"/>
    <s v="New"/>
    <n v="0.27"/>
    <x v="0"/>
    <x v="1"/>
    <s v="North-Bob"/>
    <n v="116.94999999999982"/>
    <n v="39078.929999999993"/>
    <n v="1286.449999999998"/>
  </r>
  <r>
    <n v="1096"/>
    <x v="246"/>
    <x v="4"/>
    <x v="3"/>
    <n v="4649.88"/>
    <n v="32"/>
    <x v="0"/>
    <n v="991.63"/>
    <n v="1065.55"/>
    <s v="Returning"/>
    <n v="0.22"/>
    <x v="1"/>
    <x v="1"/>
    <s v="East-Alice"/>
    <n v="73.919999999999959"/>
    <n v="34097.599999999999"/>
    <n v="2365.4399999999987"/>
  </r>
  <r>
    <n v="1067"/>
    <x v="114"/>
    <x v="0"/>
    <x v="0"/>
    <n v="3133.99"/>
    <n v="49"/>
    <x v="0"/>
    <n v="2628.38"/>
    <n v="2644.54"/>
    <s v="Returning"/>
    <n v="0.11"/>
    <x v="0"/>
    <x v="0"/>
    <s v="North-Bob"/>
    <n v="16.159999999999854"/>
    <n v="129582.45999999999"/>
    <n v="791.83999999999287"/>
  </r>
  <r>
    <n v="1027"/>
    <x v="153"/>
    <x v="4"/>
    <x v="3"/>
    <n v="8241.57"/>
    <n v="7"/>
    <x v="1"/>
    <n v="2371.85"/>
    <n v="2457.29"/>
    <s v="New"/>
    <n v="0.03"/>
    <x v="0"/>
    <x v="1"/>
    <s v="East-Alice"/>
    <n v="85.440000000000055"/>
    <n v="17201.03"/>
    <n v="598.08000000000038"/>
  </r>
  <r>
    <n v="1093"/>
    <x v="82"/>
    <x v="2"/>
    <x v="0"/>
    <n v="664.09"/>
    <n v="46"/>
    <x v="2"/>
    <n v="401.64"/>
    <n v="757.26"/>
    <s v="New"/>
    <n v="0.21"/>
    <x v="2"/>
    <x v="1"/>
    <s v="North-Charlie"/>
    <n v="355.62"/>
    <n v="34833.96"/>
    <n v="16358.52"/>
  </r>
  <r>
    <n v="1032"/>
    <x v="143"/>
    <x v="1"/>
    <x v="2"/>
    <n v="4244.21"/>
    <n v="11"/>
    <x v="2"/>
    <n v="4100.62"/>
    <n v="4230"/>
    <s v="New"/>
    <n v="0.28999999999999998"/>
    <x v="1"/>
    <x v="0"/>
    <s v="South-David"/>
    <n v="129.38000000000011"/>
    <n v="46530"/>
    <n v="1423.1800000000012"/>
  </r>
  <r>
    <n v="1050"/>
    <x v="334"/>
    <x v="4"/>
    <x v="0"/>
    <n v="4638.47"/>
    <n v="28"/>
    <x v="1"/>
    <n v="1711.63"/>
    <n v="1951.2400000000002"/>
    <s v="New"/>
    <n v="0.22"/>
    <x v="0"/>
    <x v="0"/>
    <s v="North-Alice"/>
    <n v="239.61000000000013"/>
    <n v="54634.720000000008"/>
    <n v="6709.0800000000036"/>
  </r>
  <r>
    <n v="1061"/>
    <x v="127"/>
    <x v="0"/>
    <x v="2"/>
    <n v="7277.56"/>
    <n v="41"/>
    <x v="0"/>
    <n v="2894.18"/>
    <n v="3193.92"/>
    <s v="New"/>
    <n v="0.28000000000000003"/>
    <x v="1"/>
    <x v="1"/>
    <s v="South-Bob"/>
    <n v="299.74000000000024"/>
    <n v="130950.72"/>
    <n v="12289.340000000009"/>
  </r>
  <r>
    <n v="1051"/>
    <x v="230"/>
    <x v="1"/>
    <x v="2"/>
    <n v="5785.45"/>
    <n v="23"/>
    <x v="0"/>
    <n v="2598.1799999999998"/>
    <n v="3042.73"/>
    <s v="Returning"/>
    <n v="0.24"/>
    <x v="2"/>
    <x v="0"/>
    <s v="South-David"/>
    <n v="444.55000000000018"/>
    <n v="69982.789999999994"/>
    <n v="10224.650000000005"/>
  </r>
  <r>
    <n v="1019"/>
    <x v="290"/>
    <x v="2"/>
    <x v="1"/>
    <n v="6705.4"/>
    <n v="45"/>
    <x v="2"/>
    <n v="2590.64"/>
    <n v="3036.18"/>
    <s v="New"/>
    <n v="0.05"/>
    <x v="1"/>
    <x v="1"/>
    <s v="West-Charlie"/>
    <n v="445.53999999999996"/>
    <n v="136628.1"/>
    <n v="20049.3"/>
  </r>
  <r>
    <n v="1021"/>
    <x v="259"/>
    <x v="1"/>
    <x v="2"/>
    <n v="7792.79"/>
    <n v="23"/>
    <x v="1"/>
    <n v="580.75"/>
    <n v="956.16000000000008"/>
    <s v="Returning"/>
    <n v="7.0000000000000007E-2"/>
    <x v="0"/>
    <x v="1"/>
    <s v="South-David"/>
    <n v="375.41000000000008"/>
    <n v="21991.68"/>
    <n v="8634.4300000000021"/>
  </r>
  <r>
    <n v="1005"/>
    <x v="197"/>
    <x v="4"/>
    <x v="2"/>
    <n v="8635.81"/>
    <n v="28"/>
    <x v="0"/>
    <n v="2146.2399999999998"/>
    <n v="2173.4699999999998"/>
    <s v="Returning"/>
    <n v="0.1"/>
    <x v="0"/>
    <x v="1"/>
    <s v="South-Alice"/>
    <n v="27.230000000000018"/>
    <n v="60857.159999999996"/>
    <n v="762.44000000000051"/>
  </r>
  <r>
    <n v="1082"/>
    <x v="34"/>
    <x v="2"/>
    <x v="0"/>
    <n v="3207.37"/>
    <n v="43"/>
    <x v="0"/>
    <n v="2289.2199999999998"/>
    <n v="2581"/>
    <s v="New"/>
    <n v="0.05"/>
    <x v="1"/>
    <x v="0"/>
    <s v="North-Charlie"/>
    <n v="291.7800000000002"/>
    <n v="110983"/>
    <n v="12546.540000000008"/>
  </r>
  <r>
    <n v="1092"/>
    <x v="240"/>
    <x v="0"/>
    <x v="3"/>
    <n v="5426.42"/>
    <n v="47"/>
    <x v="0"/>
    <n v="3681.53"/>
    <n v="4076.96"/>
    <s v="Returning"/>
    <n v="0.17"/>
    <x v="0"/>
    <x v="1"/>
    <s v="East-Bob"/>
    <n v="395.42999999999984"/>
    <n v="191617.12"/>
    <n v="18585.209999999992"/>
  </r>
  <r>
    <n v="1042"/>
    <x v="321"/>
    <x v="2"/>
    <x v="1"/>
    <n v="8417.07"/>
    <n v="26"/>
    <x v="3"/>
    <n v="4208.09"/>
    <n v="4226.5600000000004"/>
    <s v="Returning"/>
    <n v="0.28999999999999998"/>
    <x v="0"/>
    <x v="1"/>
    <s v="West-Charlie"/>
    <n v="18.470000000000255"/>
    <n v="109890.56000000001"/>
    <n v="480.22000000000662"/>
  </r>
  <r>
    <n v="1061"/>
    <x v="2"/>
    <x v="2"/>
    <x v="2"/>
    <n v="9895.57"/>
    <n v="25"/>
    <x v="1"/>
    <n v="2747.66"/>
    <n v="3027.0099999999998"/>
    <s v="New"/>
    <n v="0.23"/>
    <x v="0"/>
    <x v="0"/>
    <s v="South-Charlie"/>
    <n v="279.34999999999991"/>
    <n v="75675.25"/>
    <n v="6983.7499999999982"/>
  </r>
  <r>
    <n v="1022"/>
    <x v="90"/>
    <x v="3"/>
    <x v="1"/>
    <n v="8906.24"/>
    <n v="29"/>
    <x v="0"/>
    <n v="479.58"/>
    <n v="909.88"/>
    <s v="Returning"/>
    <n v="0.13"/>
    <x v="2"/>
    <x v="1"/>
    <s v="West-Eve"/>
    <n v="430.3"/>
    <n v="26386.52"/>
    <n v="12478.7"/>
  </r>
  <r>
    <n v="1021"/>
    <x v="68"/>
    <x v="2"/>
    <x v="0"/>
    <n v="3777.53"/>
    <n v="19"/>
    <x v="3"/>
    <n v="1222.4000000000001"/>
    <n v="1464.71"/>
    <s v="New"/>
    <n v="0"/>
    <x v="2"/>
    <x v="1"/>
    <s v="North-Charlie"/>
    <n v="242.30999999999995"/>
    <n v="27829.49"/>
    <n v="4603.8899999999994"/>
  </r>
  <r>
    <n v="1070"/>
    <x v="335"/>
    <x v="2"/>
    <x v="2"/>
    <n v="2032.15"/>
    <n v="33"/>
    <x v="1"/>
    <n v="866.42"/>
    <n v="878.43"/>
    <s v="New"/>
    <n v="0.09"/>
    <x v="0"/>
    <x v="1"/>
    <s v="South-Charlie"/>
    <n v="12.009999999999991"/>
    <n v="28988.19"/>
    <n v="396.3299999999997"/>
  </r>
  <r>
    <n v="1001"/>
    <x v="24"/>
    <x v="1"/>
    <x v="0"/>
    <n v="4944.99"/>
    <n v="36"/>
    <x v="0"/>
    <n v="666.84"/>
    <n v="682.24"/>
    <s v="New"/>
    <n v="0.16"/>
    <x v="1"/>
    <x v="1"/>
    <s v="North-David"/>
    <n v="15.399999999999977"/>
    <n v="24560.639999999999"/>
    <n v="554.39999999999918"/>
  </r>
  <r>
    <n v="1005"/>
    <x v="76"/>
    <x v="0"/>
    <x v="1"/>
    <n v="7442.25"/>
    <n v="14"/>
    <x v="2"/>
    <n v="1861.2"/>
    <n v="2075.35"/>
    <s v="Returning"/>
    <n v="0.1"/>
    <x v="2"/>
    <x v="1"/>
    <s v="West-Bob"/>
    <n v="214.14999999999986"/>
    <n v="29054.899999999998"/>
    <n v="2998.0999999999981"/>
  </r>
  <r>
    <n v="1012"/>
    <x v="24"/>
    <x v="1"/>
    <x v="0"/>
    <n v="4976.43"/>
    <n v="14"/>
    <x v="3"/>
    <n v="1185.5"/>
    <n v="1271.45"/>
    <s v="Returning"/>
    <n v="0.03"/>
    <x v="1"/>
    <x v="1"/>
    <s v="North-David"/>
    <n v="85.950000000000045"/>
    <n v="17800.3"/>
    <n v="1203.3000000000006"/>
  </r>
  <r>
    <n v="1090"/>
    <x v="1"/>
    <x v="1"/>
    <x v="1"/>
    <n v="4883.49"/>
    <n v="35"/>
    <x v="3"/>
    <n v="1130.5999999999999"/>
    <n v="1466.1799999999998"/>
    <s v="Returning"/>
    <n v="0.13"/>
    <x v="0"/>
    <x v="0"/>
    <s v="West-David"/>
    <n v="335.57999999999993"/>
    <n v="51316.299999999996"/>
    <n v="11745.299999999997"/>
  </r>
  <r>
    <n v="1046"/>
    <x v="175"/>
    <x v="4"/>
    <x v="0"/>
    <n v="8398.48"/>
    <n v="30"/>
    <x v="0"/>
    <n v="320.73"/>
    <n v="678.04"/>
    <s v="Returning"/>
    <n v="0.08"/>
    <x v="0"/>
    <x v="1"/>
    <s v="North-Alice"/>
    <n v="357.30999999999995"/>
    <n v="20341.199999999997"/>
    <n v="10719.3"/>
  </r>
  <r>
    <n v="1034"/>
    <x v="211"/>
    <x v="1"/>
    <x v="1"/>
    <n v="3677.9"/>
    <n v="28"/>
    <x v="0"/>
    <n v="137.47"/>
    <n v="234.63"/>
    <s v="New"/>
    <n v="0.27"/>
    <x v="1"/>
    <x v="1"/>
    <s v="West-David"/>
    <n v="97.16"/>
    <n v="6569.6399999999994"/>
    <n v="2720.48"/>
  </r>
  <r>
    <n v="1049"/>
    <x v="76"/>
    <x v="3"/>
    <x v="3"/>
    <n v="8611.9699999999993"/>
    <n v="17"/>
    <x v="3"/>
    <n v="558.70000000000005"/>
    <n v="1004.08"/>
    <s v="Returning"/>
    <n v="0.03"/>
    <x v="2"/>
    <x v="0"/>
    <s v="East-Eve"/>
    <n v="445.38"/>
    <n v="17069.36"/>
    <n v="7571.46"/>
  </r>
  <r>
    <n v="1078"/>
    <x v="327"/>
    <x v="3"/>
    <x v="0"/>
    <n v="4127.37"/>
    <n v="3"/>
    <x v="2"/>
    <n v="902.38"/>
    <n v="1128.9100000000001"/>
    <s v="New"/>
    <n v="0.01"/>
    <x v="1"/>
    <x v="1"/>
    <s v="North-Eve"/>
    <n v="226.53000000000009"/>
    <n v="3386.7300000000005"/>
    <n v="679.59000000000026"/>
  </r>
  <r>
    <n v="1090"/>
    <x v="309"/>
    <x v="4"/>
    <x v="0"/>
    <n v="3349.51"/>
    <n v="16"/>
    <x v="2"/>
    <n v="2183.37"/>
    <n v="2263.3599999999997"/>
    <s v="Returning"/>
    <n v="0"/>
    <x v="1"/>
    <x v="1"/>
    <s v="North-Alice"/>
    <n v="79.989999999999782"/>
    <n v="36213.759999999995"/>
    <n v="1279.8399999999965"/>
  </r>
  <r>
    <n v="1045"/>
    <x v="319"/>
    <x v="0"/>
    <x v="3"/>
    <n v="4594.5"/>
    <n v="46"/>
    <x v="1"/>
    <n v="2577.08"/>
    <n v="2961.56"/>
    <s v="Returning"/>
    <n v="0.1"/>
    <x v="0"/>
    <x v="0"/>
    <s v="East-Bob"/>
    <n v="384.48"/>
    <n v="136231.76"/>
    <n v="17686.080000000002"/>
  </r>
  <r>
    <n v="1027"/>
    <x v="284"/>
    <x v="0"/>
    <x v="3"/>
    <n v="7648.22"/>
    <n v="30"/>
    <x v="0"/>
    <n v="745.93"/>
    <n v="1143.02"/>
    <s v="Returning"/>
    <n v="0.2"/>
    <x v="2"/>
    <x v="0"/>
    <s v="East-Bob"/>
    <n v="397.09000000000003"/>
    <n v="34290.6"/>
    <n v="11912.7"/>
  </r>
  <r>
    <n v="1073"/>
    <x v="152"/>
    <x v="1"/>
    <x v="0"/>
    <n v="1347.42"/>
    <n v="29"/>
    <x v="2"/>
    <n v="2152.6799999999998"/>
    <n v="2475.9299999999998"/>
    <s v="Returning"/>
    <n v="0.22"/>
    <x v="1"/>
    <x v="0"/>
    <s v="North-David"/>
    <n v="323.25"/>
    <n v="71801.97"/>
    <n v="9374.25"/>
  </r>
  <r>
    <n v="1026"/>
    <x v="158"/>
    <x v="1"/>
    <x v="3"/>
    <n v="2044.55"/>
    <n v="45"/>
    <x v="1"/>
    <n v="1741.66"/>
    <n v="2169.86"/>
    <s v="Returning"/>
    <n v="0.14000000000000001"/>
    <x v="2"/>
    <x v="0"/>
    <s v="East-David"/>
    <n v="428.20000000000005"/>
    <n v="97643.700000000012"/>
    <n v="19269.000000000004"/>
  </r>
  <r>
    <n v="1047"/>
    <x v="216"/>
    <x v="1"/>
    <x v="2"/>
    <n v="9519.2999999999993"/>
    <n v="15"/>
    <x v="2"/>
    <n v="957.95"/>
    <n v="1329.26"/>
    <s v="New"/>
    <n v="0.21"/>
    <x v="0"/>
    <x v="0"/>
    <s v="South-David"/>
    <n v="371.30999999999995"/>
    <n v="19938.900000000001"/>
    <n v="5569.65"/>
  </r>
  <r>
    <n v="1086"/>
    <x v="241"/>
    <x v="0"/>
    <x v="1"/>
    <n v="1837.37"/>
    <n v="46"/>
    <x v="0"/>
    <n v="83.86"/>
    <n v="526.14"/>
    <s v="Returning"/>
    <n v="0.11"/>
    <x v="2"/>
    <x v="0"/>
    <s v="West-Bob"/>
    <n v="442.28"/>
    <n v="24202.44"/>
    <n v="20344.879999999997"/>
  </r>
  <r>
    <n v="1056"/>
    <x v="107"/>
    <x v="2"/>
    <x v="1"/>
    <n v="5720.5"/>
    <n v="25"/>
    <x v="1"/>
    <n v="2361.7399999999998"/>
    <n v="2584.35"/>
    <s v="Returning"/>
    <n v="0.2"/>
    <x v="0"/>
    <x v="0"/>
    <s v="West-Charlie"/>
    <n v="222.61000000000013"/>
    <n v="64608.75"/>
    <n v="5565.2500000000036"/>
  </r>
  <r>
    <n v="1094"/>
    <x v="266"/>
    <x v="3"/>
    <x v="1"/>
    <n v="5835.21"/>
    <n v="38"/>
    <x v="1"/>
    <n v="3443.98"/>
    <n v="3820.3"/>
    <s v="Returning"/>
    <n v="0.01"/>
    <x v="2"/>
    <x v="1"/>
    <s v="West-Eve"/>
    <n v="376.32000000000016"/>
    <n v="145171.4"/>
    <n v="14300.160000000007"/>
  </r>
  <r>
    <n v="1063"/>
    <x v="201"/>
    <x v="2"/>
    <x v="2"/>
    <n v="4947.28"/>
    <n v="42"/>
    <x v="1"/>
    <n v="1170.07"/>
    <n v="1669.9499999999998"/>
    <s v="Returning"/>
    <n v="0.12"/>
    <x v="1"/>
    <x v="1"/>
    <s v="South-Charlie"/>
    <n v="499.87999999999988"/>
    <n v="70137.899999999994"/>
    <n v="20994.959999999995"/>
  </r>
  <r>
    <n v="1048"/>
    <x v="266"/>
    <x v="2"/>
    <x v="3"/>
    <n v="6482.98"/>
    <n v="47"/>
    <x v="2"/>
    <n v="702.44"/>
    <n v="1067.6600000000001"/>
    <s v="New"/>
    <n v="0.24"/>
    <x v="0"/>
    <x v="1"/>
    <s v="East-Charlie"/>
    <n v="365.22"/>
    <n v="50180.020000000004"/>
    <n v="17165.34"/>
  </r>
  <r>
    <n v="1061"/>
    <x v="170"/>
    <x v="0"/>
    <x v="3"/>
    <n v="2375.2800000000002"/>
    <n v="38"/>
    <x v="0"/>
    <n v="4440.8599999999997"/>
    <n v="4506.8099999999995"/>
    <s v="Returning"/>
    <n v="0.24"/>
    <x v="1"/>
    <x v="0"/>
    <s v="East-Bob"/>
    <n v="65.949999999999818"/>
    <n v="171258.77999999997"/>
    <n v="2506.0999999999931"/>
  </r>
  <r>
    <n v="1081"/>
    <x v="274"/>
    <x v="2"/>
    <x v="0"/>
    <n v="5571.36"/>
    <n v="23"/>
    <x v="1"/>
    <n v="1411.37"/>
    <n v="1675.35"/>
    <s v="New"/>
    <n v="0.21"/>
    <x v="0"/>
    <x v="1"/>
    <s v="North-Charlie"/>
    <n v="263.98"/>
    <n v="38533.049999999996"/>
    <n v="6071.5400000000009"/>
  </r>
  <r>
    <n v="1026"/>
    <x v="30"/>
    <x v="4"/>
    <x v="3"/>
    <n v="3784.52"/>
    <n v="25"/>
    <x v="3"/>
    <n v="1156.8800000000001"/>
    <n v="1454.68"/>
    <s v="Returning"/>
    <n v="0.06"/>
    <x v="2"/>
    <x v="0"/>
    <s v="East-Alice"/>
    <n v="297.79999999999995"/>
    <n v="36367"/>
    <n v="7444.9999999999991"/>
  </r>
  <r>
    <n v="1036"/>
    <x v="246"/>
    <x v="1"/>
    <x v="0"/>
    <n v="6650.51"/>
    <n v="42"/>
    <x v="0"/>
    <n v="4292.63"/>
    <n v="4387.99"/>
    <s v="New"/>
    <n v="7.0000000000000007E-2"/>
    <x v="2"/>
    <x v="1"/>
    <s v="North-David"/>
    <n v="95.359999999999673"/>
    <n v="184295.58"/>
    <n v="4005.1199999999862"/>
  </r>
  <r>
    <n v="1001"/>
    <x v="215"/>
    <x v="4"/>
    <x v="2"/>
    <n v="1498.11"/>
    <n v="7"/>
    <x v="3"/>
    <n v="4094.68"/>
    <n v="4576.5"/>
    <s v="New"/>
    <n v="0.3"/>
    <x v="0"/>
    <x v="1"/>
    <s v="South-Alice"/>
    <n v="481.82000000000016"/>
    <n v="32035.5"/>
    <n v="3372.7400000000011"/>
  </r>
  <r>
    <n v="1008"/>
    <x v="164"/>
    <x v="3"/>
    <x v="1"/>
    <n v="5751.69"/>
    <n v="22"/>
    <x v="3"/>
    <n v="2269.3200000000002"/>
    <n v="2365.3500000000004"/>
    <s v="New"/>
    <n v="0.03"/>
    <x v="0"/>
    <x v="1"/>
    <s v="West-Eve"/>
    <n v="96.0300000000002"/>
    <n v="52037.700000000012"/>
    <n v="2112.6600000000044"/>
  </r>
  <r>
    <n v="1099"/>
    <x v="336"/>
    <x v="1"/>
    <x v="1"/>
    <n v="1934.18"/>
    <n v="17"/>
    <x v="1"/>
    <n v="2471.73"/>
    <n v="2568.73"/>
    <s v="New"/>
    <n v="0.05"/>
    <x v="0"/>
    <x v="1"/>
    <s v="West-David"/>
    <n v="97"/>
    <n v="43668.41"/>
    <n v="1649"/>
  </r>
  <r>
    <n v="1052"/>
    <x v="64"/>
    <x v="2"/>
    <x v="1"/>
    <n v="2858.57"/>
    <n v="18"/>
    <x v="1"/>
    <n v="1127.8599999999999"/>
    <n v="1586.29"/>
    <s v="New"/>
    <n v="0.04"/>
    <x v="2"/>
    <x v="0"/>
    <s v="West-Charlie"/>
    <n v="458.43000000000006"/>
    <n v="28553.22"/>
    <n v="8251.7400000000016"/>
  </r>
  <r>
    <n v="1079"/>
    <x v="46"/>
    <x v="3"/>
    <x v="3"/>
    <n v="2265.23"/>
    <n v="49"/>
    <x v="2"/>
    <n v="437.59"/>
    <n v="675.54"/>
    <s v="Returning"/>
    <n v="0.1"/>
    <x v="0"/>
    <x v="0"/>
    <s v="East-Eve"/>
    <n v="237.95"/>
    <n v="33101.46"/>
    <n v="11659.55"/>
  </r>
  <r>
    <n v="1047"/>
    <x v="337"/>
    <x v="1"/>
    <x v="0"/>
    <n v="1910.09"/>
    <n v="41"/>
    <x v="2"/>
    <n v="2888.49"/>
    <n v="2929.45"/>
    <s v="New"/>
    <n v="0.06"/>
    <x v="0"/>
    <x v="1"/>
    <s v="North-David"/>
    <n v="40.960000000000036"/>
    <n v="120107.45"/>
    <n v="1679.3600000000015"/>
  </r>
  <r>
    <n v="1056"/>
    <x v="222"/>
    <x v="2"/>
    <x v="0"/>
    <n v="8274.5400000000009"/>
    <n v="10"/>
    <x v="2"/>
    <n v="536.80999999999995"/>
    <n v="839.92"/>
    <s v="Returning"/>
    <n v="0.15"/>
    <x v="1"/>
    <x v="0"/>
    <s v="North-Charlie"/>
    <n v="303.11"/>
    <n v="8399.1999999999989"/>
    <n v="3031.1000000000004"/>
  </r>
  <r>
    <n v="1086"/>
    <x v="117"/>
    <x v="4"/>
    <x v="2"/>
    <n v="2928.5"/>
    <n v="10"/>
    <x v="0"/>
    <n v="2273.91"/>
    <n v="2578.7999999999997"/>
    <s v="New"/>
    <n v="0.14000000000000001"/>
    <x v="0"/>
    <x v="0"/>
    <s v="South-Alice"/>
    <n v="304.88999999999987"/>
    <n v="25787.999999999996"/>
    <n v="3048.8999999999987"/>
  </r>
  <r>
    <n v="1014"/>
    <x v="275"/>
    <x v="1"/>
    <x v="3"/>
    <n v="9278.5300000000007"/>
    <n v="7"/>
    <x v="2"/>
    <n v="4705.46"/>
    <n v="4747.07"/>
    <s v="New"/>
    <n v="0.27"/>
    <x v="1"/>
    <x v="1"/>
    <s v="East-David"/>
    <n v="41.609999999999673"/>
    <n v="33229.49"/>
    <n v="291.26999999999771"/>
  </r>
  <r>
    <n v="1090"/>
    <x v="108"/>
    <x v="2"/>
    <x v="2"/>
    <n v="9702.27"/>
    <n v="48"/>
    <x v="3"/>
    <n v="4766.53"/>
    <n v="5253.07"/>
    <s v="Returning"/>
    <n v="0.01"/>
    <x v="1"/>
    <x v="0"/>
    <s v="South-Charlie"/>
    <n v="486.53999999999996"/>
    <n v="252147.36"/>
    <n v="23353.919999999998"/>
  </r>
  <r>
    <n v="1028"/>
    <x v="251"/>
    <x v="4"/>
    <x v="0"/>
    <n v="5755.48"/>
    <n v="38"/>
    <x v="2"/>
    <n v="1234.69"/>
    <n v="1511.26"/>
    <s v="New"/>
    <n v="0.1"/>
    <x v="1"/>
    <x v="0"/>
    <s v="North-Alice"/>
    <n v="276.56999999999994"/>
    <n v="57427.88"/>
    <n v="10509.659999999998"/>
  </r>
  <r>
    <n v="1087"/>
    <x v="47"/>
    <x v="3"/>
    <x v="0"/>
    <n v="1515.71"/>
    <n v="27"/>
    <x v="1"/>
    <n v="3139.36"/>
    <n v="3423.6600000000003"/>
    <s v="New"/>
    <n v="0.18"/>
    <x v="2"/>
    <x v="0"/>
    <s v="North-Eve"/>
    <n v="284.30000000000018"/>
    <n v="92438.82"/>
    <n v="7676.1000000000049"/>
  </r>
  <r>
    <n v="1078"/>
    <x v="217"/>
    <x v="3"/>
    <x v="1"/>
    <n v="3808.03"/>
    <n v="33"/>
    <x v="2"/>
    <n v="2396.6799999999998"/>
    <n v="2661.54"/>
    <s v="New"/>
    <n v="0.18"/>
    <x v="1"/>
    <x v="0"/>
    <s v="West-Eve"/>
    <n v="264.86000000000013"/>
    <n v="87830.819999999992"/>
    <n v="8740.3800000000047"/>
  </r>
  <r>
    <n v="1088"/>
    <x v="187"/>
    <x v="3"/>
    <x v="3"/>
    <n v="7997.55"/>
    <n v="1"/>
    <x v="0"/>
    <n v="4384.6400000000003"/>
    <n v="4693.9000000000005"/>
    <s v="New"/>
    <n v="0.14000000000000001"/>
    <x v="0"/>
    <x v="1"/>
    <s v="East-Eve"/>
    <n v="309.26000000000022"/>
    <n v="4693.9000000000005"/>
    <n v="309.26000000000022"/>
  </r>
  <r>
    <n v="1002"/>
    <x v="16"/>
    <x v="3"/>
    <x v="0"/>
    <n v="3737.17"/>
    <n v="44"/>
    <x v="0"/>
    <n v="1393.58"/>
    <n v="1533.09"/>
    <s v="Returning"/>
    <n v="0.24"/>
    <x v="2"/>
    <x v="1"/>
    <s v="North-Eve"/>
    <n v="139.51"/>
    <n v="67455.959999999992"/>
    <n v="6138.44"/>
  </r>
  <r>
    <n v="1026"/>
    <x v="298"/>
    <x v="0"/>
    <x v="1"/>
    <n v="961.47"/>
    <n v="34"/>
    <x v="3"/>
    <n v="68.33"/>
    <n v="219.07999999999998"/>
    <s v="New"/>
    <n v="0.02"/>
    <x v="2"/>
    <x v="0"/>
    <s v="West-Bob"/>
    <n v="150.75"/>
    <n v="7448.7199999999993"/>
    <n v="5125.5"/>
  </r>
  <r>
    <n v="1014"/>
    <x v="316"/>
    <x v="1"/>
    <x v="3"/>
    <n v="5612.17"/>
    <n v="4"/>
    <x v="0"/>
    <n v="854.68"/>
    <n v="1115.24"/>
    <s v="New"/>
    <n v="0.24"/>
    <x v="2"/>
    <x v="1"/>
    <s v="East-David"/>
    <n v="260.56000000000006"/>
    <n v="4460.96"/>
    <n v="1042.2400000000002"/>
  </r>
  <r>
    <n v="1059"/>
    <x v="257"/>
    <x v="1"/>
    <x v="2"/>
    <n v="8466.7000000000007"/>
    <n v="17"/>
    <x v="2"/>
    <n v="1780.14"/>
    <n v="2185.42"/>
    <s v="Returning"/>
    <n v="0.15"/>
    <x v="2"/>
    <x v="1"/>
    <s v="South-David"/>
    <n v="405.28"/>
    <n v="37152.14"/>
    <n v="6889.7599999999993"/>
  </r>
  <r>
    <n v="1056"/>
    <x v="92"/>
    <x v="0"/>
    <x v="3"/>
    <n v="7979.67"/>
    <n v="4"/>
    <x v="1"/>
    <n v="1612.82"/>
    <n v="1647.25"/>
    <s v="Returning"/>
    <n v="0.04"/>
    <x v="2"/>
    <x v="1"/>
    <s v="East-Bob"/>
    <n v="34.430000000000064"/>
    <n v="6589"/>
    <n v="137.72000000000025"/>
  </r>
  <r>
    <n v="1007"/>
    <x v="228"/>
    <x v="2"/>
    <x v="3"/>
    <n v="1833.72"/>
    <n v="43"/>
    <x v="0"/>
    <n v="3967.25"/>
    <n v="4272.92"/>
    <s v="New"/>
    <n v="0.27"/>
    <x v="2"/>
    <x v="0"/>
    <s v="East-Charlie"/>
    <n v="305.67000000000007"/>
    <n v="183735.56"/>
    <n v="13143.810000000003"/>
  </r>
  <r>
    <n v="1003"/>
    <x v="198"/>
    <x v="2"/>
    <x v="0"/>
    <n v="6760.37"/>
    <n v="26"/>
    <x v="3"/>
    <n v="3418.78"/>
    <n v="3824.1000000000004"/>
    <s v="New"/>
    <n v="0.19"/>
    <x v="2"/>
    <x v="0"/>
    <s v="North-Charlie"/>
    <n v="405.32000000000016"/>
    <n v="99426.6"/>
    <n v="10538.320000000003"/>
  </r>
  <r>
    <n v="1023"/>
    <x v="166"/>
    <x v="3"/>
    <x v="0"/>
    <n v="2282.9899999999998"/>
    <n v="4"/>
    <x v="2"/>
    <n v="1532.8"/>
    <n v="1619.69"/>
    <s v="Returning"/>
    <n v="0.05"/>
    <x v="1"/>
    <x v="1"/>
    <s v="North-Eve"/>
    <n v="86.8900000000001"/>
    <n v="6478.76"/>
    <n v="347.5600000000004"/>
  </r>
  <r>
    <n v="1018"/>
    <x v="30"/>
    <x v="4"/>
    <x v="3"/>
    <n v="2260.25"/>
    <n v="1"/>
    <x v="3"/>
    <n v="2315.83"/>
    <n v="2333.19"/>
    <s v="New"/>
    <n v="0.01"/>
    <x v="0"/>
    <x v="1"/>
    <s v="East-Alice"/>
    <n v="17.360000000000127"/>
    <n v="2333.19"/>
    <n v="17.360000000000127"/>
  </r>
  <r>
    <n v="1038"/>
    <x v="86"/>
    <x v="2"/>
    <x v="0"/>
    <n v="8753.31"/>
    <n v="7"/>
    <x v="0"/>
    <n v="523.02"/>
    <n v="686.25"/>
    <s v="Returning"/>
    <n v="0.04"/>
    <x v="0"/>
    <x v="0"/>
    <s v="North-Charlie"/>
    <n v="163.23000000000002"/>
    <n v="4803.75"/>
    <n v="1142.6100000000001"/>
  </r>
  <r>
    <n v="1099"/>
    <x v="328"/>
    <x v="4"/>
    <x v="0"/>
    <n v="2571.7199999999998"/>
    <n v="30"/>
    <x v="0"/>
    <n v="4495.82"/>
    <n v="4794.0099999999993"/>
    <s v="New"/>
    <n v="0.18"/>
    <x v="1"/>
    <x v="1"/>
    <s v="North-Alice"/>
    <n v="298.1899999999996"/>
    <n v="143820.29999999999"/>
    <n v="8945.699999999988"/>
  </r>
  <r>
    <n v="1015"/>
    <x v="338"/>
    <x v="1"/>
    <x v="0"/>
    <n v="2706.15"/>
    <n v="9"/>
    <x v="3"/>
    <n v="4680.3500000000004"/>
    <n v="4758.1100000000006"/>
    <s v="Returning"/>
    <n v="0.05"/>
    <x v="1"/>
    <x v="0"/>
    <s v="North-David"/>
    <n v="77.760000000000218"/>
    <n v="42822.990000000005"/>
    <n v="699.84000000000196"/>
  </r>
  <r>
    <n v="1064"/>
    <x v="111"/>
    <x v="4"/>
    <x v="1"/>
    <n v="106.47"/>
    <n v="35"/>
    <x v="2"/>
    <n v="4900.03"/>
    <n v="5118.83"/>
    <s v="Returning"/>
    <n v="7.0000000000000007E-2"/>
    <x v="2"/>
    <x v="1"/>
    <s v="West-Alice"/>
    <n v="218.80000000000018"/>
    <n v="179159.05"/>
    <n v="7658.0000000000064"/>
  </r>
  <r>
    <n v="1089"/>
    <x v="136"/>
    <x v="1"/>
    <x v="1"/>
    <n v="8719.6200000000008"/>
    <n v="8"/>
    <x v="0"/>
    <n v="4349.34"/>
    <n v="4629.9800000000005"/>
    <s v="Returning"/>
    <n v="0.01"/>
    <x v="2"/>
    <x v="0"/>
    <s v="West-David"/>
    <n v="280.64000000000033"/>
    <n v="37039.840000000004"/>
    <n v="2245.1200000000026"/>
  </r>
  <r>
    <n v="1028"/>
    <x v="82"/>
    <x v="0"/>
    <x v="3"/>
    <n v="7946.69"/>
    <n v="24"/>
    <x v="1"/>
    <n v="911.11"/>
    <n v="1214.56"/>
    <s v="New"/>
    <n v="0.22"/>
    <x v="1"/>
    <x v="0"/>
    <s v="East-Bob"/>
    <n v="303.44999999999993"/>
    <n v="29149.439999999999"/>
    <n v="7282.7999999999984"/>
  </r>
  <r>
    <n v="1074"/>
    <x v="22"/>
    <x v="0"/>
    <x v="0"/>
    <n v="6310.56"/>
    <n v="19"/>
    <x v="0"/>
    <n v="278.67"/>
    <n v="423.13"/>
    <s v="New"/>
    <n v="0.24"/>
    <x v="2"/>
    <x v="0"/>
    <s v="North-Bob"/>
    <n v="144.45999999999998"/>
    <n v="8039.47"/>
    <n v="2744.74"/>
  </r>
  <r>
    <n v="1039"/>
    <x v="97"/>
    <x v="3"/>
    <x v="1"/>
    <n v="7527.63"/>
    <n v="36"/>
    <x v="2"/>
    <n v="2919"/>
    <n v="3125.01"/>
    <s v="New"/>
    <n v="0.24"/>
    <x v="0"/>
    <x v="0"/>
    <s v="West-Eve"/>
    <n v="206.01000000000022"/>
    <n v="112500.36000000002"/>
    <n v="7416.3600000000079"/>
  </r>
  <r>
    <n v="1057"/>
    <x v="130"/>
    <x v="2"/>
    <x v="3"/>
    <n v="1605.28"/>
    <n v="43"/>
    <x v="0"/>
    <n v="4567.3900000000003"/>
    <n v="4958.7800000000007"/>
    <s v="New"/>
    <n v="0.04"/>
    <x v="0"/>
    <x v="1"/>
    <s v="East-Charlie"/>
    <n v="391.39000000000033"/>
    <n v="213227.54000000004"/>
    <n v="16829.770000000015"/>
  </r>
  <r>
    <n v="1017"/>
    <x v="331"/>
    <x v="3"/>
    <x v="0"/>
    <n v="4637.3999999999996"/>
    <n v="27"/>
    <x v="3"/>
    <n v="927.89"/>
    <n v="1399.09"/>
    <s v="Returning"/>
    <n v="0.27"/>
    <x v="2"/>
    <x v="0"/>
    <s v="North-Eve"/>
    <n v="471.19999999999993"/>
    <n v="37775.43"/>
    <n v="12722.399999999998"/>
  </r>
  <r>
    <n v="1086"/>
    <x v="62"/>
    <x v="1"/>
    <x v="2"/>
    <n v="3577.07"/>
    <n v="32"/>
    <x v="0"/>
    <n v="84.86"/>
    <n v="517.17999999999995"/>
    <s v="Returning"/>
    <n v="0.2"/>
    <x v="2"/>
    <x v="1"/>
    <s v="South-David"/>
    <n v="432.31999999999994"/>
    <n v="16549.759999999998"/>
    <n v="13834.239999999998"/>
  </r>
  <r>
    <n v="1090"/>
    <x v="21"/>
    <x v="3"/>
    <x v="0"/>
    <n v="1028.3900000000001"/>
    <n v="14"/>
    <x v="0"/>
    <n v="4037.21"/>
    <n v="4323.71"/>
    <s v="Returning"/>
    <n v="0.27"/>
    <x v="2"/>
    <x v="0"/>
    <s v="North-Eve"/>
    <n v="286.5"/>
    <n v="60531.94"/>
    <n v="4011"/>
  </r>
  <r>
    <n v="1044"/>
    <x v="36"/>
    <x v="4"/>
    <x v="0"/>
    <n v="4912.6899999999996"/>
    <n v="18"/>
    <x v="2"/>
    <n v="430.14"/>
    <n v="641.17999999999995"/>
    <s v="New"/>
    <n v="0.13"/>
    <x v="0"/>
    <x v="0"/>
    <s v="North-Alice"/>
    <n v="211.03999999999996"/>
    <n v="11541.24"/>
    <n v="3798.7199999999993"/>
  </r>
  <r>
    <n v="1025"/>
    <x v="174"/>
    <x v="1"/>
    <x v="1"/>
    <n v="9215.32"/>
    <n v="28"/>
    <x v="3"/>
    <n v="2097.84"/>
    <n v="2270.9900000000002"/>
    <s v="New"/>
    <n v="0.13"/>
    <x v="2"/>
    <x v="1"/>
    <s v="West-David"/>
    <n v="173.15000000000009"/>
    <n v="63587.720000000008"/>
    <n v="4848.2000000000025"/>
  </r>
  <r>
    <n v="1017"/>
    <x v="54"/>
    <x v="0"/>
    <x v="3"/>
    <n v="496.59"/>
    <n v="29"/>
    <x v="2"/>
    <n v="3410.49"/>
    <n v="3481.72"/>
    <s v="New"/>
    <n v="0.24"/>
    <x v="1"/>
    <x v="1"/>
    <s v="East-Bob"/>
    <n v="71.230000000000018"/>
    <n v="100969.87999999999"/>
    <n v="2065.6700000000005"/>
  </r>
  <r>
    <n v="1013"/>
    <x v="26"/>
    <x v="2"/>
    <x v="3"/>
    <n v="2985.46"/>
    <n v="16"/>
    <x v="0"/>
    <n v="1222.1500000000001"/>
    <n v="1284.3600000000001"/>
    <s v="Returning"/>
    <n v="0.03"/>
    <x v="2"/>
    <x v="1"/>
    <s v="East-Charlie"/>
    <n v="62.210000000000036"/>
    <n v="20549.760000000002"/>
    <n v="995.36000000000058"/>
  </r>
  <r>
    <n v="1084"/>
    <x v="330"/>
    <x v="1"/>
    <x v="1"/>
    <n v="2154.66"/>
    <n v="35"/>
    <x v="1"/>
    <n v="465.61"/>
    <n v="812.91000000000008"/>
    <s v="New"/>
    <n v="0.16"/>
    <x v="1"/>
    <x v="0"/>
    <s v="West-David"/>
    <n v="347.30000000000007"/>
    <n v="28451.850000000002"/>
    <n v="12155.500000000002"/>
  </r>
  <r>
    <n v="1025"/>
    <x v="177"/>
    <x v="1"/>
    <x v="0"/>
    <n v="2457.65"/>
    <n v="47"/>
    <x v="0"/>
    <n v="3861.61"/>
    <n v="3998.9100000000003"/>
    <s v="New"/>
    <n v="0.25"/>
    <x v="2"/>
    <x v="0"/>
    <s v="North-David"/>
    <n v="137.30000000000018"/>
    <n v="187948.77000000002"/>
    <n v="6453.1000000000085"/>
  </r>
  <r>
    <n v="1068"/>
    <x v="208"/>
    <x v="4"/>
    <x v="2"/>
    <n v="9093.5"/>
    <n v="31"/>
    <x v="2"/>
    <n v="3169.37"/>
    <n v="3304.15"/>
    <s v="Returning"/>
    <n v="0.25"/>
    <x v="2"/>
    <x v="1"/>
    <s v="South-Alice"/>
    <n v="134.7800000000002"/>
    <n v="102428.65000000001"/>
    <n v="4178.1800000000057"/>
  </r>
  <r>
    <n v="1010"/>
    <x v="296"/>
    <x v="2"/>
    <x v="0"/>
    <n v="4733.88"/>
    <n v="4"/>
    <x v="1"/>
    <n v="4943.03"/>
    <n v="5442.15"/>
    <s v="Returning"/>
    <n v="0.28999999999999998"/>
    <x v="0"/>
    <x v="0"/>
    <s v="North-Charlie"/>
    <n v="499.11999999999989"/>
    <n v="21768.6"/>
    <n v="1996.4799999999996"/>
  </r>
  <r>
    <n v="1067"/>
    <x v="258"/>
    <x v="0"/>
    <x v="0"/>
    <n v="4716.3599999999997"/>
    <n v="37"/>
    <x v="2"/>
    <n v="1754.32"/>
    <n v="1856.3999999999999"/>
    <s v="New"/>
    <n v="0.21"/>
    <x v="1"/>
    <x v="1"/>
    <s v="North-Bob"/>
    <n v="102.07999999999993"/>
    <n v="68686.799999999988"/>
    <n v="3776.9599999999973"/>
  </r>
  <r>
    <n v="1018"/>
    <x v="167"/>
    <x v="1"/>
    <x v="2"/>
    <n v="7629.7"/>
    <n v="17"/>
    <x v="2"/>
    <n v="355.72"/>
    <n v="438.27000000000004"/>
    <s v="Returning"/>
    <n v="0.06"/>
    <x v="1"/>
    <x v="0"/>
    <s v="South-David"/>
    <n v="82.550000000000011"/>
    <n v="7450.5900000000011"/>
    <n v="1403.3500000000001"/>
  </r>
  <r>
    <n v="1100"/>
    <x v="265"/>
    <x v="1"/>
    <x v="1"/>
    <n v="1629.47"/>
    <n v="39"/>
    <x v="3"/>
    <n v="3685.03"/>
    <n v="3743.3900000000003"/>
    <s v="New"/>
    <n v="0.01"/>
    <x v="1"/>
    <x v="0"/>
    <s v="West-David"/>
    <n v="58.360000000000127"/>
    <n v="145992.21000000002"/>
    <n v="2276.040000000005"/>
  </r>
  <r>
    <n v="1086"/>
    <x v="132"/>
    <x v="4"/>
    <x v="3"/>
    <n v="4923.93"/>
    <n v="48"/>
    <x v="1"/>
    <n v="2632.58"/>
    <n v="2926.68"/>
    <s v="Returning"/>
    <n v="0.14000000000000001"/>
    <x v="0"/>
    <x v="0"/>
    <s v="East-Alice"/>
    <n v="294.09999999999991"/>
    <n v="140480.63999999998"/>
    <n v="14116.7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E1FDED-BD24-4CE6-AA5C-0A770E267E8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6" firstHeaderRow="1" firstDataRow="1" firstDataCol="1"/>
  <pivotFields count="22">
    <pivotField showAll="0"/>
    <pivotField numFmtId="14" showAll="0">
      <items count="341">
        <item x="58"/>
        <item x="218"/>
        <item x="284"/>
        <item x="21"/>
        <item x="99"/>
        <item x="7"/>
        <item x="211"/>
        <item x="202"/>
        <item x="230"/>
        <item x="69"/>
        <item x="142"/>
        <item x="266"/>
        <item x="73"/>
        <item x="107"/>
        <item x="120"/>
        <item x="270"/>
        <item x="172"/>
        <item x="192"/>
        <item x="191"/>
        <item x="54"/>
        <item x="326"/>
        <item x="319"/>
        <item x="112"/>
        <item x="331"/>
        <item x="170"/>
        <item x="45"/>
        <item x="242"/>
        <item x="157"/>
        <item x="31"/>
        <item x="188"/>
        <item x="322"/>
        <item x="0"/>
        <item x="86"/>
        <item x="33"/>
        <item x="298"/>
        <item x="61"/>
        <item x="118"/>
        <item x="32"/>
        <item x="240"/>
        <item x="5"/>
        <item x="267"/>
        <item x="305"/>
        <item x="247"/>
        <item x="57"/>
        <item x="180"/>
        <item x="330"/>
        <item x="156"/>
        <item x="285"/>
        <item x="224"/>
        <item x="205"/>
        <item x="164"/>
        <item x="301"/>
        <item x="268"/>
        <item x="324"/>
        <item x="228"/>
        <item x="88"/>
        <item x="262"/>
        <item x="42"/>
        <item x="113"/>
        <item x="248"/>
        <item x="283"/>
        <item x="119"/>
        <item x="294"/>
        <item x="83"/>
        <item x="19"/>
        <item x="287"/>
        <item x="259"/>
        <item x="315"/>
        <item x="37"/>
        <item x="85"/>
        <item x="312"/>
        <item x="101"/>
        <item x="323"/>
        <item x="269"/>
        <item x="227"/>
        <item x="217"/>
        <item x="4"/>
        <item x="76"/>
        <item x="214"/>
        <item x="126"/>
        <item x="201"/>
        <item x="209"/>
        <item x="103"/>
        <item x="59"/>
        <item x="154"/>
        <item x="328"/>
        <item x="41"/>
        <item x="25"/>
        <item x="208"/>
        <item x="123"/>
        <item x="237"/>
        <item x="291"/>
        <item x="6"/>
        <item x="264"/>
        <item x="273"/>
        <item x="106"/>
        <item x="296"/>
        <item x="153"/>
        <item x="288"/>
        <item x="263"/>
        <item x="236"/>
        <item x="161"/>
        <item x="1"/>
        <item x="20"/>
        <item x="55"/>
        <item x="194"/>
        <item x="137"/>
        <item x="333"/>
        <item x="167"/>
        <item x="40"/>
        <item x="222"/>
        <item x="210"/>
        <item x="246"/>
        <item x="127"/>
        <item x="297"/>
        <item x="110"/>
        <item x="152"/>
        <item x="173"/>
        <item x="260"/>
        <item x="75"/>
        <item x="198"/>
        <item x="102"/>
        <item x="48"/>
        <item x="39"/>
        <item x="135"/>
        <item x="28"/>
        <item x="71"/>
        <item x="63"/>
        <item x="56"/>
        <item x="149"/>
        <item x="60"/>
        <item x="114"/>
        <item x="190"/>
        <item x="116"/>
        <item x="238"/>
        <item x="215"/>
        <item x="141"/>
        <item x="165"/>
        <item x="16"/>
        <item x="213"/>
        <item x="26"/>
        <item x="115"/>
        <item x="168"/>
        <item x="308"/>
        <item x="179"/>
        <item x="121"/>
        <item x="189"/>
        <item x="130"/>
        <item x="293"/>
        <item x="67"/>
        <item x="200"/>
        <item x="314"/>
        <item x="253"/>
        <item x="98"/>
        <item x="196"/>
        <item x="74"/>
        <item x="304"/>
        <item x="276"/>
        <item x="151"/>
        <item x="72"/>
        <item x="46"/>
        <item x="329"/>
        <item x="193"/>
        <item x="272"/>
        <item x="177"/>
        <item x="68"/>
        <item x="109"/>
        <item x="8"/>
        <item x="252"/>
        <item x="162"/>
        <item x="275"/>
        <item x="134"/>
        <item x="280"/>
        <item x="300"/>
        <item x="254"/>
        <item x="216"/>
        <item x="183"/>
        <item x="245"/>
        <item x="307"/>
        <item x="318"/>
        <item x="250"/>
        <item x="43"/>
        <item x="221"/>
        <item x="125"/>
        <item x="219"/>
        <item x="18"/>
        <item x="271"/>
        <item x="144"/>
        <item x="232"/>
        <item x="166"/>
        <item x="44"/>
        <item x="321"/>
        <item x="332"/>
        <item x="311"/>
        <item x="338"/>
        <item x="327"/>
        <item x="229"/>
        <item x="150"/>
        <item x="187"/>
        <item x="52"/>
        <item x="97"/>
        <item x="159"/>
        <item x="186"/>
        <item x="133"/>
        <item x="261"/>
        <item x="148"/>
        <item x="243"/>
        <item x="36"/>
        <item x="337"/>
        <item x="195"/>
        <item x="34"/>
        <item x="185"/>
        <item x="53"/>
        <item x="11"/>
        <item x="256"/>
        <item x="132"/>
        <item x="14"/>
        <item x="122"/>
        <item x="255"/>
        <item x="313"/>
        <item x="220"/>
        <item x="235"/>
        <item x="3"/>
        <item x="104"/>
        <item x="336"/>
        <item x="207"/>
        <item x="289"/>
        <item x="317"/>
        <item x="30"/>
        <item x="169"/>
        <item x="279"/>
        <item x="233"/>
        <item x="29"/>
        <item x="206"/>
        <item x="258"/>
        <item x="175"/>
        <item x="124"/>
        <item x="204"/>
        <item x="223"/>
        <item x="160"/>
        <item x="310"/>
        <item x="66"/>
        <item x="286"/>
        <item x="70"/>
        <item x="290"/>
        <item x="212"/>
        <item x="2"/>
        <item x="81"/>
        <item x="199"/>
        <item x="91"/>
        <item x="244"/>
        <item x="277"/>
        <item x="93"/>
        <item x="325"/>
        <item x="281"/>
        <item x="80"/>
        <item x="278"/>
        <item x="51"/>
        <item x="17"/>
        <item x="234"/>
        <item x="226"/>
        <item x="231"/>
        <item x="9"/>
        <item x="140"/>
        <item x="299"/>
        <item x="178"/>
        <item x="95"/>
        <item x="155"/>
        <item x="108"/>
        <item x="15"/>
        <item x="96"/>
        <item x="138"/>
        <item x="62"/>
        <item x="129"/>
        <item x="105"/>
        <item x="87"/>
        <item x="158"/>
        <item x="139"/>
        <item x="47"/>
        <item x="274"/>
        <item x="146"/>
        <item x="131"/>
        <item x="303"/>
        <item x="82"/>
        <item x="320"/>
        <item x="251"/>
        <item x="117"/>
        <item x="249"/>
        <item x="27"/>
        <item x="257"/>
        <item x="163"/>
        <item x="309"/>
        <item x="12"/>
        <item x="94"/>
        <item x="334"/>
        <item x="24"/>
        <item x="78"/>
        <item x="10"/>
        <item x="77"/>
        <item x="35"/>
        <item x="203"/>
        <item x="50"/>
        <item x="49"/>
        <item x="184"/>
        <item x="90"/>
        <item x="79"/>
        <item x="128"/>
        <item x="23"/>
        <item x="136"/>
        <item x="65"/>
        <item x="84"/>
        <item x="38"/>
        <item x="302"/>
        <item x="181"/>
        <item x="292"/>
        <item x="100"/>
        <item x="282"/>
        <item x="239"/>
        <item x="182"/>
        <item x="176"/>
        <item x="306"/>
        <item x="145"/>
        <item x="171"/>
        <item x="335"/>
        <item x="89"/>
        <item x="22"/>
        <item x="316"/>
        <item x="111"/>
        <item x="265"/>
        <item x="225"/>
        <item x="64"/>
        <item x="295"/>
        <item x="197"/>
        <item x="143"/>
        <item x="92"/>
        <item x="241"/>
        <item x="147"/>
        <item x="174"/>
        <item x="13"/>
        <item m="1" x="339"/>
        <item t="default"/>
      </items>
    </pivotField>
    <pivotField showAll="0"/>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 dragToRow="0" dragToCol="0" dragToPage="0" showAll="0" defaultSubtotal="0"/>
    <pivotField axis="axisRow" showAll="0">
      <items count="15">
        <item x="0"/>
        <item x="1"/>
        <item x="2"/>
        <item x="3"/>
        <item x="4"/>
        <item x="5"/>
        <item x="6"/>
        <item x="7"/>
        <item x="8"/>
        <item x="9"/>
        <item x="10"/>
        <item x="11"/>
        <item x="12"/>
        <item x="13"/>
        <item t="default"/>
      </items>
    </pivotField>
    <pivotField showAll="0">
      <items count="4">
        <item x="0"/>
        <item x="1"/>
        <item sd="0" x="2"/>
        <item t="default"/>
      </items>
    </pivotField>
    <pivotField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Sum of Revenue " fld="15" baseField="0" baseItem="0"/>
  </dataFields>
  <chartFormats count="2">
    <chartFormat chart="15"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131CB0-CD38-4357-9C0E-4CFB7478FB5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2">
    <pivotField showAll="0"/>
    <pivotField numFmtId="14" showAll="0">
      <items count="341">
        <item x="58"/>
        <item x="218"/>
        <item x="284"/>
        <item x="21"/>
        <item x="99"/>
        <item x="7"/>
        <item x="211"/>
        <item x="202"/>
        <item x="230"/>
        <item x="69"/>
        <item x="142"/>
        <item x="266"/>
        <item x="73"/>
        <item x="107"/>
        <item x="120"/>
        <item x="270"/>
        <item x="172"/>
        <item x="192"/>
        <item x="191"/>
        <item x="54"/>
        <item x="326"/>
        <item x="319"/>
        <item x="112"/>
        <item x="331"/>
        <item x="170"/>
        <item x="45"/>
        <item x="242"/>
        <item x="157"/>
        <item x="31"/>
        <item x="188"/>
        <item x="322"/>
        <item x="0"/>
        <item x="86"/>
        <item x="33"/>
        <item x="298"/>
        <item x="61"/>
        <item x="118"/>
        <item x="32"/>
        <item x="240"/>
        <item x="5"/>
        <item x="267"/>
        <item x="305"/>
        <item x="247"/>
        <item x="57"/>
        <item x="180"/>
        <item x="330"/>
        <item x="156"/>
        <item x="285"/>
        <item x="224"/>
        <item x="205"/>
        <item x="164"/>
        <item x="301"/>
        <item x="268"/>
        <item x="324"/>
        <item x="228"/>
        <item x="88"/>
        <item x="262"/>
        <item x="42"/>
        <item x="113"/>
        <item x="248"/>
        <item x="283"/>
        <item x="119"/>
        <item x="294"/>
        <item x="83"/>
        <item x="19"/>
        <item x="287"/>
        <item x="259"/>
        <item x="315"/>
        <item x="37"/>
        <item x="85"/>
        <item x="312"/>
        <item x="101"/>
        <item x="323"/>
        <item x="269"/>
        <item x="227"/>
        <item x="217"/>
        <item x="4"/>
        <item x="76"/>
        <item x="214"/>
        <item x="126"/>
        <item x="201"/>
        <item x="209"/>
        <item x="103"/>
        <item x="59"/>
        <item x="154"/>
        <item x="328"/>
        <item x="41"/>
        <item x="25"/>
        <item x="208"/>
        <item x="123"/>
        <item x="237"/>
        <item x="291"/>
        <item x="6"/>
        <item x="264"/>
        <item x="273"/>
        <item x="106"/>
        <item x="296"/>
        <item x="153"/>
        <item x="288"/>
        <item x="263"/>
        <item x="236"/>
        <item x="161"/>
        <item x="1"/>
        <item x="20"/>
        <item x="55"/>
        <item x="194"/>
        <item x="137"/>
        <item x="333"/>
        <item x="167"/>
        <item x="40"/>
        <item x="222"/>
        <item x="210"/>
        <item x="246"/>
        <item x="127"/>
        <item x="297"/>
        <item x="110"/>
        <item x="152"/>
        <item x="173"/>
        <item x="260"/>
        <item x="75"/>
        <item x="198"/>
        <item x="102"/>
        <item x="48"/>
        <item x="39"/>
        <item x="135"/>
        <item x="28"/>
        <item x="71"/>
        <item x="63"/>
        <item x="56"/>
        <item x="149"/>
        <item x="60"/>
        <item x="114"/>
        <item x="190"/>
        <item x="116"/>
        <item x="238"/>
        <item x="215"/>
        <item x="141"/>
        <item x="165"/>
        <item x="16"/>
        <item x="213"/>
        <item x="26"/>
        <item x="115"/>
        <item x="168"/>
        <item x="308"/>
        <item x="179"/>
        <item x="121"/>
        <item x="189"/>
        <item x="130"/>
        <item x="293"/>
        <item x="67"/>
        <item x="200"/>
        <item x="314"/>
        <item x="253"/>
        <item x="98"/>
        <item x="196"/>
        <item x="74"/>
        <item x="304"/>
        <item x="276"/>
        <item x="151"/>
        <item x="72"/>
        <item x="46"/>
        <item x="329"/>
        <item x="193"/>
        <item x="272"/>
        <item x="177"/>
        <item x="68"/>
        <item x="109"/>
        <item x="8"/>
        <item x="252"/>
        <item x="162"/>
        <item x="275"/>
        <item x="134"/>
        <item x="280"/>
        <item x="300"/>
        <item x="254"/>
        <item x="216"/>
        <item x="183"/>
        <item x="245"/>
        <item x="307"/>
        <item x="318"/>
        <item x="250"/>
        <item x="43"/>
        <item x="221"/>
        <item x="125"/>
        <item x="219"/>
        <item x="18"/>
        <item x="271"/>
        <item x="144"/>
        <item x="232"/>
        <item x="166"/>
        <item x="44"/>
        <item x="321"/>
        <item x="332"/>
        <item x="311"/>
        <item x="338"/>
        <item x="327"/>
        <item x="229"/>
        <item x="150"/>
        <item x="187"/>
        <item x="52"/>
        <item x="97"/>
        <item x="159"/>
        <item x="186"/>
        <item x="133"/>
        <item x="261"/>
        <item x="148"/>
        <item x="243"/>
        <item x="36"/>
        <item x="337"/>
        <item x="195"/>
        <item x="34"/>
        <item x="185"/>
        <item x="53"/>
        <item x="11"/>
        <item x="256"/>
        <item x="132"/>
        <item x="14"/>
        <item x="122"/>
        <item x="255"/>
        <item x="313"/>
        <item x="220"/>
        <item x="235"/>
        <item x="3"/>
        <item x="104"/>
        <item x="336"/>
        <item x="207"/>
        <item x="289"/>
        <item x="317"/>
        <item x="30"/>
        <item x="169"/>
        <item x="279"/>
        <item x="233"/>
        <item x="29"/>
        <item x="206"/>
        <item x="258"/>
        <item x="175"/>
        <item x="124"/>
        <item x="204"/>
        <item x="223"/>
        <item x="160"/>
        <item x="310"/>
        <item x="66"/>
        <item x="286"/>
        <item x="70"/>
        <item x="290"/>
        <item x="212"/>
        <item x="2"/>
        <item x="81"/>
        <item x="199"/>
        <item x="91"/>
        <item x="244"/>
        <item x="277"/>
        <item x="93"/>
        <item x="325"/>
        <item x="281"/>
        <item x="80"/>
        <item x="278"/>
        <item x="51"/>
        <item x="17"/>
        <item x="234"/>
        <item x="226"/>
        <item x="231"/>
        <item x="9"/>
        <item x="140"/>
        <item x="299"/>
        <item x="178"/>
        <item x="95"/>
        <item x="155"/>
        <item x="108"/>
        <item x="15"/>
        <item x="96"/>
        <item x="138"/>
        <item x="62"/>
        <item x="129"/>
        <item x="105"/>
        <item x="87"/>
        <item x="158"/>
        <item x="139"/>
        <item x="47"/>
        <item x="274"/>
        <item x="146"/>
        <item x="131"/>
        <item x="303"/>
        <item x="82"/>
        <item x="320"/>
        <item x="251"/>
        <item x="117"/>
        <item x="249"/>
        <item x="27"/>
        <item x="257"/>
        <item x="163"/>
        <item x="309"/>
        <item x="12"/>
        <item x="94"/>
        <item x="334"/>
        <item x="24"/>
        <item x="78"/>
        <item x="10"/>
        <item x="77"/>
        <item x="35"/>
        <item x="203"/>
        <item x="50"/>
        <item x="49"/>
        <item x="184"/>
        <item x="90"/>
        <item x="79"/>
        <item x="128"/>
        <item x="23"/>
        <item x="136"/>
        <item x="65"/>
        <item x="84"/>
        <item x="38"/>
        <item x="302"/>
        <item x="181"/>
        <item x="292"/>
        <item x="100"/>
        <item x="282"/>
        <item x="239"/>
        <item x="182"/>
        <item x="176"/>
        <item x="306"/>
        <item x="145"/>
        <item x="171"/>
        <item x="335"/>
        <item x="89"/>
        <item x="22"/>
        <item x="316"/>
        <item x="111"/>
        <item x="265"/>
        <item x="225"/>
        <item x="64"/>
        <item x="295"/>
        <item x="197"/>
        <item x="143"/>
        <item x="92"/>
        <item x="241"/>
        <item x="147"/>
        <item x="174"/>
        <item x="13"/>
        <item m="1" x="339"/>
        <item t="default"/>
      </items>
    </pivotField>
    <pivotField showAll="0"/>
    <pivotField axis="axisRow"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dragToRow="0" dragToCol="0" dragToPage="0" showAll="0" defaultSubtotal="0"/>
  </pivotFields>
  <rowFields count="1">
    <field x="3"/>
  </rowFields>
  <rowItems count="5">
    <i>
      <x/>
    </i>
    <i>
      <x v="1"/>
    </i>
    <i>
      <x v="2"/>
    </i>
    <i>
      <x v="3"/>
    </i>
    <i t="grand">
      <x/>
    </i>
  </rowItems>
  <colItems count="1">
    <i/>
  </colItems>
  <dataFields count="1">
    <dataField name="Sum of Revenue " fld="15" baseField="0" baseItem="0"/>
  </dataFields>
  <chartFormats count="2">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605708-DF78-4D7B-9EB3-2FDFD904C39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2">
    <pivotField showAll="0"/>
    <pivotField numFmtId="14" showAll="0">
      <items count="341">
        <item x="58"/>
        <item x="218"/>
        <item x="284"/>
        <item x="21"/>
        <item x="99"/>
        <item x="7"/>
        <item x="211"/>
        <item x="202"/>
        <item x="230"/>
        <item x="69"/>
        <item x="142"/>
        <item x="266"/>
        <item x="73"/>
        <item x="107"/>
        <item x="120"/>
        <item x="270"/>
        <item x="172"/>
        <item x="192"/>
        <item x="191"/>
        <item x="54"/>
        <item x="326"/>
        <item x="319"/>
        <item x="112"/>
        <item x="331"/>
        <item x="170"/>
        <item x="45"/>
        <item x="242"/>
        <item x="157"/>
        <item x="31"/>
        <item x="188"/>
        <item x="322"/>
        <item x="0"/>
        <item x="86"/>
        <item x="33"/>
        <item x="298"/>
        <item x="61"/>
        <item x="118"/>
        <item x="32"/>
        <item x="240"/>
        <item x="5"/>
        <item x="267"/>
        <item x="305"/>
        <item x="247"/>
        <item x="57"/>
        <item x="180"/>
        <item x="330"/>
        <item x="156"/>
        <item x="285"/>
        <item x="224"/>
        <item x="205"/>
        <item x="164"/>
        <item x="301"/>
        <item x="268"/>
        <item x="324"/>
        <item x="228"/>
        <item x="88"/>
        <item x="262"/>
        <item x="42"/>
        <item x="113"/>
        <item x="248"/>
        <item x="283"/>
        <item x="119"/>
        <item x="294"/>
        <item x="83"/>
        <item x="19"/>
        <item x="287"/>
        <item x="259"/>
        <item x="315"/>
        <item x="37"/>
        <item x="85"/>
        <item x="312"/>
        <item x="101"/>
        <item x="323"/>
        <item x="269"/>
        <item x="227"/>
        <item x="217"/>
        <item x="4"/>
        <item x="76"/>
        <item x="214"/>
        <item x="126"/>
        <item x="201"/>
        <item x="209"/>
        <item x="103"/>
        <item x="59"/>
        <item x="154"/>
        <item x="328"/>
        <item x="41"/>
        <item x="25"/>
        <item x="208"/>
        <item x="123"/>
        <item x="237"/>
        <item x="291"/>
        <item x="6"/>
        <item x="264"/>
        <item x="273"/>
        <item x="106"/>
        <item x="296"/>
        <item x="153"/>
        <item x="288"/>
        <item x="263"/>
        <item x="236"/>
        <item x="161"/>
        <item x="1"/>
        <item x="20"/>
        <item x="55"/>
        <item x="194"/>
        <item x="137"/>
        <item x="333"/>
        <item x="167"/>
        <item x="40"/>
        <item x="222"/>
        <item x="210"/>
        <item x="246"/>
        <item x="127"/>
        <item x="297"/>
        <item x="110"/>
        <item x="152"/>
        <item x="173"/>
        <item x="260"/>
        <item x="75"/>
        <item x="198"/>
        <item x="102"/>
        <item x="48"/>
        <item x="39"/>
        <item x="135"/>
        <item x="28"/>
        <item x="71"/>
        <item x="63"/>
        <item x="56"/>
        <item x="149"/>
        <item x="60"/>
        <item x="114"/>
        <item x="190"/>
        <item x="116"/>
        <item x="238"/>
        <item x="215"/>
        <item x="141"/>
        <item x="165"/>
        <item x="16"/>
        <item x="213"/>
        <item x="26"/>
        <item x="115"/>
        <item x="168"/>
        <item x="308"/>
        <item x="179"/>
        <item x="121"/>
        <item x="189"/>
        <item x="130"/>
        <item x="293"/>
        <item x="67"/>
        <item x="200"/>
        <item x="314"/>
        <item x="253"/>
        <item x="98"/>
        <item x="196"/>
        <item x="74"/>
        <item x="304"/>
        <item x="276"/>
        <item x="151"/>
        <item x="72"/>
        <item x="46"/>
        <item x="329"/>
        <item x="193"/>
        <item x="272"/>
        <item x="177"/>
        <item x="68"/>
        <item x="109"/>
        <item x="8"/>
        <item x="252"/>
        <item x="162"/>
        <item x="275"/>
        <item x="134"/>
        <item x="280"/>
        <item x="300"/>
        <item x="254"/>
        <item x="216"/>
        <item x="183"/>
        <item x="245"/>
        <item x="307"/>
        <item x="318"/>
        <item x="250"/>
        <item x="43"/>
        <item x="221"/>
        <item x="125"/>
        <item x="219"/>
        <item x="18"/>
        <item x="271"/>
        <item x="144"/>
        <item x="232"/>
        <item x="166"/>
        <item x="44"/>
        <item x="321"/>
        <item x="332"/>
        <item x="311"/>
        <item x="338"/>
        <item x="327"/>
        <item x="229"/>
        <item x="150"/>
        <item x="187"/>
        <item x="52"/>
        <item x="97"/>
        <item x="159"/>
        <item x="186"/>
        <item x="133"/>
        <item x="261"/>
        <item x="148"/>
        <item x="243"/>
        <item x="36"/>
        <item x="337"/>
        <item x="195"/>
        <item x="34"/>
        <item x="185"/>
        <item x="53"/>
        <item x="11"/>
        <item x="256"/>
        <item x="132"/>
        <item x="14"/>
        <item x="122"/>
        <item x="255"/>
        <item x="313"/>
        <item x="220"/>
        <item x="235"/>
        <item x="3"/>
        <item x="104"/>
        <item x="336"/>
        <item x="207"/>
        <item x="289"/>
        <item x="317"/>
        <item x="30"/>
        <item x="169"/>
        <item x="279"/>
        <item x="233"/>
        <item x="29"/>
        <item x="206"/>
        <item x="258"/>
        <item x="175"/>
        <item x="124"/>
        <item x="204"/>
        <item x="223"/>
        <item x="160"/>
        <item x="310"/>
        <item x="66"/>
        <item x="286"/>
        <item x="70"/>
        <item x="290"/>
        <item x="212"/>
        <item x="2"/>
        <item x="81"/>
        <item x="199"/>
        <item x="91"/>
        <item x="244"/>
        <item x="277"/>
        <item x="93"/>
        <item x="325"/>
        <item x="281"/>
        <item x="80"/>
        <item x="278"/>
        <item x="51"/>
        <item x="17"/>
        <item x="234"/>
        <item x="226"/>
        <item x="231"/>
        <item x="9"/>
        <item x="140"/>
        <item x="299"/>
        <item x="178"/>
        <item x="95"/>
        <item x="155"/>
        <item x="108"/>
        <item x="15"/>
        <item x="96"/>
        <item x="138"/>
        <item x="62"/>
        <item x="129"/>
        <item x="105"/>
        <item x="87"/>
        <item x="158"/>
        <item x="139"/>
        <item x="47"/>
        <item x="274"/>
        <item x="146"/>
        <item x="131"/>
        <item x="303"/>
        <item x="82"/>
        <item x="320"/>
        <item x="251"/>
        <item x="117"/>
        <item x="249"/>
        <item x="27"/>
        <item x="257"/>
        <item x="163"/>
        <item x="309"/>
        <item x="12"/>
        <item x="94"/>
        <item x="334"/>
        <item x="24"/>
        <item x="78"/>
        <item x="10"/>
        <item x="77"/>
        <item x="35"/>
        <item x="203"/>
        <item x="50"/>
        <item x="49"/>
        <item x="184"/>
        <item x="90"/>
        <item x="79"/>
        <item x="128"/>
        <item x="23"/>
        <item x="136"/>
        <item x="65"/>
        <item x="84"/>
        <item x="38"/>
        <item x="302"/>
        <item x="181"/>
        <item x="292"/>
        <item x="100"/>
        <item x="282"/>
        <item x="239"/>
        <item x="182"/>
        <item x="176"/>
        <item x="306"/>
        <item x="145"/>
        <item x="171"/>
        <item x="335"/>
        <item x="89"/>
        <item x="22"/>
        <item x="316"/>
        <item x="111"/>
        <item x="265"/>
        <item x="225"/>
        <item x="64"/>
        <item x="295"/>
        <item x="197"/>
        <item x="143"/>
        <item x="92"/>
        <item x="241"/>
        <item x="147"/>
        <item x="174"/>
        <item x="13"/>
        <item m="1" x="339"/>
        <item t="default"/>
      </items>
    </pivotField>
    <pivotField axis="axisRow" showAll="0">
      <items count="6">
        <item x="4"/>
        <item x="0"/>
        <item x="2"/>
        <item x="1"/>
        <item x="3"/>
        <item t="default"/>
      </items>
    </pivotField>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dragToRow="0" dragToCol="0" dragToPage="0" showAll="0" defaultSubtotal="0"/>
  </pivotFields>
  <rowFields count="1">
    <field x="2"/>
  </rowFields>
  <rowItems count="6">
    <i>
      <x/>
    </i>
    <i>
      <x v="1"/>
    </i>
    <i>
      <x v="2"/>
    </i>
    <i>
      <x v="3"/>
    </i>
    <i>
      <x v="4"/>
    </i>
    <i t="grand">
      <x/>
    </i>
  </rowItems>
  <colItems count="1">
    <i/>
  </colItems>
  <dataFields count="1">
    <dataField name="Sum of Revenue " fld="15" baseField="0" baseItem="0"/>
  </dataFields>
  <chartFormats count="2">
    <chartFormat chart="3"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D8C40D-8B5E-4954-B6D3-553F7C8691F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5:C10" firstHeaderRow="1" firstDataRow="1" firstDataCol="1"/>
  <pivotFields count="22">
    <pivotField showAll="0"/>
    <pivotField numFmtId="14" showAll="0">
      <items count="341">
        <item x="58"/>
        <item x="218"/>
        <item x="284"/>
        <item x="21"/>
        <item x="99"/>
        <item x="7"/>
        <item x="211"/>
        <item x="202"/>
        <item x="230"/>
        <item x="69"/>
        <item x="142"/>
        <item x="266"/>
        <item x="73"/>
        <item x="107"/>
        <item x="120"/>
        <item x="270"/>
        <item x="172"/>
        <item x="192"/>
        <item x="191"/>
        <item x="54"/>
        <item x="326"/>
        <item x="319"/>
        <item x="112"/>
        <item x="331"/>
        <item x="170"/>
        <item x="45"/>
        <item x="242"/>
        <item x="157"/>
        <item x="31"/>
        <item x="188"/>
        <item x="322"/>
        <item x="0"/>
        <item x="86"/>
        <item x="33"/>
        <item x="298"/>
        <item x="61"/>
        <item x="118"/>
        <item x="32"/>
        <item x="240"/>
        <item x="5"/>
        <item x="267"/>
        <item x="305"/>
        <item x="247"/>
        <item x="57"/>
        <item x="180"/>
        <item x="330"/>
        <item x="156"/>
        <item x="285"/>
        <item x="224"/>
        <item x="205"/>
        <item x="164"/>
        <item x="301"/>
        <item x="268"/>
        <item x="324"/>
        <item x="228"/>
        <item x="88"/>
        <item x="262"/>
        <item x="42"/>
        <item x="113"/>
        <item x="248"/>
        <item x="283"/>
        <item x="119"/>
        <item x="294"/>
        <item x="83"/>
        <item x="19"/>
        <item x="287"/>
        <item x="259"/>
        <item x="315"/>
        <item x="37"/>
        <item x="85"/>
        <item x="312"/>
        <item x="101"/>
        <item x="323"/>
        <item x="269"/>
        <item x="227"/>
        <item x="217"/>
        <item x="4"/>
        <item x="76"/>
        <item x="214"/>
        <item x="126"/>
        <item x="201"/>
        <item x="209"/>
        <item x="103"/>
        <item x="59"/>
        <item x="154"/>
        <item x="328"/>
        <item x="41"/>
        <item x="25"/>
        <item x="208"/>
        <item x="123"/>
        <item x="237"/>
        <item x="291"/>
        <item x="6"/>
        <item x="264"/>
        <item x="273"/>
        <item x="106"/>
        <item x="296"/>
        <item x="153"/>
        <item x="288"/>
        <item x="263"/>
        <item x="236"/>
        <item x="161"/>
        <item x="1"/>
        <item x="20"/>
        <item x="55"/>
        <item x="194"/>
        <item x="137"/>
        <item x="333"/>
        <item x="167"/>
        <item x="40"/>
        <item x="222"/>
        <item x="210"/>
        <item x="246"/>
        <item x="127"/>
        <item x="297"/>
        <item x="110"/>
        <item x="152"/>
        <item x="173"/>
        <item x="260"/>
        <item x="75"/>
        <item x="198"/>
        <item x="102"/>
        <item x="48"/>
        <item x="39"/>
        <item x="135"/>
        <item x="28"/>
        <item x="71"/>
        <item x="63"/>
        <item x="56"/>
        <item x="149"/>
        <item x="60"/>
        <item x="114"/>
        <item x="190"/>
        <item x="116"/>
        <item x="238"/>
        <item x="215"/>
        <item x="141"/>
        <item x="165"/>
        <item x="16"/>
        <item x="213"/>
        <item x="26"/>
        <item x="115"/>
        <item x="168"/>
        <item x="308"/>
        <item x="179"/>
        <item x="121"/>
        <item x="189"/>
        <item x="130"/>
        <item x="293"/>
        <item x="67"/>
        <item x="200"/>
        <item x="314"/>
        <item x="253"/>
        <item x="98"/>
        <item x="196"/>
        <item x="74"/>
        <item x="304"/>
        <item x="276"/>
        <item x="151"/>
        <item x="72"/>
        <item x="46"/>
        <item x="329"/>
        <item x="193"/>
        <item x="272"/>
        <item x="177"/>
        <item x="68"/>
        <item x="109"/>
        <item x="8"/>
        <item x="252"/>
        <item x="162"/>
        <item x="275"/>
        <item x="134"/>
        <item x="280"/>
        <item x="300"/>
        <item x="254"/>
        <item x="216"/>
        <item x="183"/>
        <item x="245"/>
        <item x="307"/>
        <item x="318"/>
        <item x="250"/>
        <item x="43"/>
        <item x="221"/>
        <item x="125"/>
        <item x="219"/>
        <item x="18"/>
        <item x="271"/>
        <item x="144"/>
        <item x="232"/>
        <item x="166"/>
        <item x="44"/>
        <item x="321"/>
        <item x="332"/>
        <item x="311"/>
        <item x="338"/>
        <item x="327"/>
        <item x="229"/>
        <item x="150"/>
        <item x="187"/>
        <item x="52"/>
        <item x="97"/>
        <item x="159"/>
        <item x="186"/>
        <item x="133"/>
        <item x="261"/>
        <item x="148"/>
        <item x="243"/>
        <item x="36"/>
        <item x="337"/>
        <item x="195"/>
        <item x="34"/>
        <item x="185"/>
        <item x="53"/>
        <item x="11"/>
        <item x="256"/>
        <item x="132"/>
        <item x="14"/>
        <item x="122"/>
        <item x="255"/>
        <item x="313"/>
        <item x="220"/>
        <item x="235"/>
        <item x="3"/>
        <item x="104"/>
        <item x="336"/>
        <item x="207"/>
        <item x="289"/>
        <item x="317"/>
        <item x="30"/>
        <item x="169"/>
        <item x="279"/>
        <item x="233"/>
        <item x="29"/>
        <item x="206"/>
        <item x="258"/>
        <item x="175"/>
        <item x="124"/>
        <item x="204"/>
        <item x="223"/>
        <item x="160"/>
        <item x="310"/>
        <item x="66"/>
        <item x="286"/>
        <item x="70"/>
        <item x="290"/>
        <item x="212"/>
        <item x="2"/>
        <item x="81"/>
        <item x="199"/>
        <item x="91"/>
        <item x="244"/>
        <item x="277"/>
        <item x="93"/>
        <item x="325"/>
        <item x="281"/>
        <item x="80"/>
        <item x="278"/>
        <item x="51"/>
        <item x="17"/>
        <item x="234"/>
        <item x="226"/>
        <item x="231"/>
        <item x="9"/>
        <item x="140"/>
        <item x="299"/>
        <item x="178"/>
        <item x="95"/>
        <item x="155"/>
        <item x="108"/>
        <item x="15"/>
        <item x="96"/>
        <item x="138"/>
        <item x="62"/>
        <item x="129"/>
        <item x="105"/>
        <item x="87"/>
        <item x="158"/>
        <item x="139"/>
        <item x="47"/>
        <item x="274"/>
        <item x="146"/>
        <item x="131"/>
        <item x="303"/>
        <item x="82"/>
        <item x="320"/>
        <item x="251"/>
        <item x="117"/>
        <item x="249"/>
        <item x="27"/>
        <item x="257"/>
        <item x="163"/>
        <item x="309"/>
        <item x="12"/>
        <item x="94"/>
        <item x="334"/>
        <item x="24"/>
        <item x="78"/>
        <item x="10"/>
        <item x="77"/>
        <item x="35"/>
        <item x="203"/>
        <item x="50"/>
        <item x="49"/>
        <item x="184"/>
        <item x="90"/>
        <item x="79"/>
        <item x="128"/>
        <item x="23"/>
        <item x="136"/>
        <item x="65"/>
        <item x="84"/>
        <item x="38"/>
        <item x="302"/>
        <item x="181"/>
        <item x="292"/>
        <item x="100"/>
        <item x="282"/>
        <item x="239"/>
        <item x="182"/>
        <item x="176"/>
        <item x="306"/>
        <item x="145"/>
        <item x="171"/>
        <item x="335"/>
        <item x="89"/>
        <item x="22"/>
        <item x="316"/>
        <item x="111"/>
        <item x="265"/>
        <item x="225"/>
        <item x="64"/>
        <item x="295"/>
        <item x="197"/>
        <item x="143"/>
        <item x="92"/>
        <item x="241"/>
        <item x="147"/>
        <item x="174"/>
        <item x="13"/>
        <item m="1" x="339"/>
        <item t="default"/>
      </items>
    </pivotField>
    <pivotField showAll="0"/>
    <pivotField showAll="0">
      <items count="5">
        <item x="3"/>
        <item x="0"/>
        <item x="2"/>
        <item x="1"/>
        <item t="default"/>
      </items>
    </pivotField>
    <pivotField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dragToRow="0" dragToCol="0" dragToPage="0" showAll="0" defaultSubtotal="0"/>
  </pivotFields>
  <rowFields count="1">
    <field x="6"/>
  </rowFields>
  <rowItems count="5">
    <i>
      <x/>
    </i>
    <i>
      <x v="1"/>
    </i>
    <i>
      <x v="2"/>
    </i>
    <i>
      <x v="3"/>
    </i>
    <i t="grand">
      <x/>
    </i>
  </rowItems>
  <colItems count="1">
    <i/>
  </colItems>
  <dataFields count="1">
    <dataField name="Sum of Revenue " fld="15" baseField="0" baseItem="0"/>
  </dataFields>
  <chartFormats count="10">
    <chartFormat chart="15" format="12"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6" count="1" selected="0">
            <x v="1"/>
          </reference>
        </references>
      </pivotArea>
    </chartFormat>
    <chartFormat chart="15" format="14">
      <pivotArea type="data" outline="0" fieldPosition="0">
        <references count="2">
          <reference field="4294967294" count="1" selected="0">
            <x v="0"/>
          </reference>
          <reference field="6" count="1" selected="0">
            <x v="3"/>
          </reference>
        </references>
      </pivotArea>
    </chartFormat>
    <chartFormat chart="15" format="15">
      <pivotArea type="data" outline="0" fieldPosition="0">
        <references count="2">
          <reference field="4294967294" count="1" selected="0">
            <x v="0"/>
          </reference>
          <reference field="6" count="1" selected="0">
            <x v="2"/>
          </reference>
        </references>
      </pivotArea>
    </chartFormat>
    <chartFormat chart="15" format="16">
      <pivotArea type="data" outline="0" fieldPosition="0">
        <references count="2">
          <reference field="4294967294" count="1" selected="0">
            <x v="0"/>
          </reference>
          <reference field="6" count="1" selected="0">
            <x v="0"/>
          </reference>
        </references>
      </pivotArea>
    </chartFormat>
    <chartFormat chart="10" format="6">
      <pivotArea type="data" outline="0" fieldPosition="0">
        <references count="2">
          <reference field="4294967294" count="1" selected="0">
            <x v="0"/>
          </reference>
          <reference field="6" count="1" selected="0">
            <x v="0"/>
          </reference>
        </references>
      </pivotArea>
    </chartFormat>
    <chartFormat chart="10" format="7">
      <pivotArea type="data" outline="0" fieldPosition="0">
        <references count="2">
          <reference field="4294967294" count="1" selected="0">
            <x v="0"/>
          </reference>
          <reference field="6" count="1" selected="0">
            <x v="1"/>
          </reference>
        </references>
      </pivotArea>
    </chartFormat>
    <chartFormat chart="10" format="8">
      <pivotArea type="data" outline="0" fieldPosition="0">
        <references count="2">
          <reference field="4294967294" count="1" selected="0">
            <x v="0"/>
          </reference>
          <reference field="6" count="1" selected="0">
            <x v="2"/>
          </reference>
        </references>
      </pivotArea>
    </chartFormat>
    <chartFormat chart="10"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BD249B-23FE-4030-817C-B56B6A10D8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22">
    <pivotField showAll="0"/>
    <pivotField numFmtId="14" showAll="0">
      <items count="341">
        <item x="58"/>
        <item x="218"/>
        <item x="284"/>
        <item x="21"/>
        <item x="99"/>
        <item x="7"/>
        <item x="211"/>
        <item x="202"/>
        <item x="230"/>
        <item x="69"/>
        <item x="142"/>
        <item x="266"/>
        <item x="73"/>
        <item x="107"/>
        <item x="120"/>
        <item x="270"/>
        <item x="172"/>
        <item x="192"/>
        <item x="191"/>
        <item x="54"/>
        <item x="326"/>
        <item x="319"/>
        <item x="112"/>
        <item x="331"/>
        <item x="170"/>
        <item x="45"/>
        <item x="242"/>
        <item x="157"/>
        <item x="31"/>
        <item x="188"/>
        <item x="322"/>
        <item x="0"/>
        <item x="86"/>
        <item x="33"/>
        <item x="298"/>
        <item x="61"/>
        <item x="118"/>
        <item x="32"/>
        <item x="240"/>
        <item x="5"/>
        <item x="267"/>
        <item x="305"/>
        <item x="247"/>
        <item x="57"/>
        <item x="180"/>
        <item x="330"/>
        <item x="156"/>
        <item x="285"/>
        <item x="224"/>
        <item x="205"/>
        <item x="164"/>
        <item x="301"/>
        <item x="268"/>
        <item x="324"/>
        <item x="228"/>
        <item x="88"/>
        <item x="262"/>
        <item x="42"/>
        <item x="113"/>
        <item x="248"/>
        <item x="283"/>
        <item x="119"/>
        <item x="294"/>
        <item x="83"/>
        <item x="19"/>
        <item x="287"/>
        <item x="259"/>
        <item x="315"/>
        <item x="37"/>
        <item x="85"/>
        <item x="312"/>
        <item x="101"/>
        <item x="323"/>
        <item x="269"/>
        <item x="227"/>
        <item x="217"/>
        <item x="4"/>
        <item x="76"/>
        <item x="214"/>
        <item x="126"/>
        <item x="201"/>
        <item x="209"/>
        <item x="103"/>
        <item x="59"/>
        <item x="154"/>
        <item x="328"/>
        <item x="41"/>
        <item x="25"/>
        <item x="208"/>
        <item x="123"/>
        <item x="237"/>
        <item x="291"/>
        <item x="6"/>
        <item x="264"/>
        <item x="273"/>
        <item x="106"/>
        <item x="296"/>
        <item x="153"/>
        <item x="288"/>
        <item x="263"/>
        <item x="236"/>
        <item x="161"/>
        <item x="1"/>
        <item x="20"/>
        <item x="55"/>
        <item x="194"/>
        <item x="137"/>
        <item x="333"/>
        <item x="167"/>
        <item x="40"/>
        <item x="222"/>
        <item x="210"/>
        <item x="246"/>
        <item x="127"/>
        <item x="297"/>
        <item x="110"/>
        <item x="152"/>
        <item x="173"/>
        <item x="260"/>
        <item x="75"/>
        <item x="198"/>
        <item x="102"/>
        <item x="48"/>
        <item x="39"/>
        <item x="135"/>
        <item x="28"/>
        <item x="71"/>
        <item x="63"/>
        <item x="56"/>
        <item x="149"/>
        <item x="60"/>
        <item x="114"/>
        <item x="190"/>
        <item x="116"/>
        <item x="238"/>
        <item x="215"/>
        <item x="141"/>
        <item x="165"/>
        <item x="16"/>
        <item x="213"/>
        <item x="26"/>
        <item x="115"/>
        <item x="168"/>
        <item x="308"/>
        <item x="179"/>
        <item x="121"/>
        <item x="189"/>
        <item x="130"/>
        <item x="293"/>
        <item x="67"/>
        <item x="200"/>
        <item x="314"/>
        <item x="253"/>
        <item x="98"/>
        <item x="196"/>
        <item x="74"/>
        <item x="304"/>
        <item x="276"/>
        <item x="151"/>
        <item x="72"/>
        <item x="46"/>
        <item x="329"/>
        <item x="193"/>
        <item x="272"/>
        <item x="177"/>
        <item x="68"/>
        <item x="109"/>
        <item x="8"/>
        <item x="252"/>
        <item x="162"/>
        <item x="275"/>
        <item x="134"/>
        <item x="280"/>
        <item x="300"/>
        <item x="254"/>
        <item x="216"/>
        <item x="183"/>
        <item x="245"/>
        <item x="307"/>
        <item x="318"/>
        <item x="250"/>
        <item x="43"/>
        <item x="221"/>
        <item x="125"/>
        <item x="219"/>
        <item x="18"/>
        <item x="271"/>
        <item x="144"/>
        <item x="232"/>
        <item x="166"/>
        <item x="44"/>
        <item x="321"/>
        <item x="332"/>
        <item x="311"/>
        <item x="338"/>
        <item x="327"/>
        <item x="229"/>
        <item x="150"/>
        <item x="187"/>
        <item x="52"/>
        <item x="97"/>
        <item x="159"/>
        <item x="186"/>
        <item x="133"/>
        <item x="261"/>
        <item x="148"/>
        <item x="243"/>
        <item x="36"/>
        <item x="337"/>
        <item x="195"/>
        <item x="34"/>
        <item x="185"/>
        <item x="53"/>
        <item x="11"/>
        <item x="256"/>
        <item x="132"/>
        <item x="14"/>
        <item x="122"/>
        <item x="255"/>
        <item x="313"/>
        <item x="220"/>
        <item x="235"/>
        <item x="3"/>
        <item x="104"/>
        <item x="336"/>
        <item x="207"/>
        <item x="289"/>
        <item x="317"/>
        <item x="30"/>
        <item x="169"/>
        <item x="279"/>
        <item x="233"/>
        <item x="29"/>
        <item x="206"/>
        <item x="258"/>
        <item x="175"/>
        <item x="124"/>
        <item x="204"/>
        <item x="223"/>
        <item x="160"/>
        <item x="310"/>
        <item x="66"/>
        <item x="286"/>
        <item x="70"/>
        <item x="290"/>
        <item x="212"/>
        <item x="2"/>
        <item x="81"/>
        <item x="199"/>
        <item x="91"/>
        <item x="244"/>
        <item x="277"/>
        <item x="93"/>
        <item x="325"/>
        <item x="281"/>
        <item x="80"/>
        <item x="278"/>
        <item x="51"/>
        <item x="17"/>
        <item x="234"/>
        <item x="226"/>
        <item x="231"/>
        <item x="9"/>
        <item x="140"/>
        <item x="299"/>
        <item x="178"/>
        <item x="95"/>
        <item x="155"/>
        <item x="108"/>
        <item x="15"/>
        <item x="96"/>
        <item x="138"/>
        <item x="62"/>
        <item x="129"/>
        <item x="105"/>
        <item x="87"/>
        <item x="158"/>
        <item x="139"/>
        <item x="47"/>
        <item x="274"/>
        <item x="146"/>
        <item x="131"/>
        <item x="303"/>
        <item x="82"/>
        <item x="320"/>
        <item x="251"/>
        <item x="117"/>
        <item x="249"/>
        <item x="27"/>
        <item x="257"/>
        <item x="163"/>
        <item x="309"/>
        <item x="12"/>
        <item x="94"/>
        <item x="334"/>
        <item x="24"/>
        <item x="78"/>
        <item x="10"/>
        <item x="77"/>
        <item x="35"/>
        <item x="203"/>
        <item x="50"/>
        <item x="49"/>
        <item x="184"/>
        <item x="90"/>
        <item x="79"/>
        <item x="128"/>
        <item x="23"/>
        <item x="136"/>
        <item x="65"/>
        <item x="84"/>
        <item x="38"/>
        <item x="302"/>
        <item x="181"/>
        <item x="292"/>
        <item x="100"/>
        <item x="282"/>
        <item x="239"/>
        <item x="182"/>
        <item x="176"/>
        <item x="306"/>
        <item x="145"/>
        <item x="171"/>
        <item x="335"/>
        <item x="89"/>
        <item x="22"/>
        <item x="316"/>
        <item x="111"/>
        <item x="265"/>
        <item x="225"/>
        <item x="64"/>
        <item x="295"/>
        <item x="197"/>
        <item x="143"/>
        <item x="92"/>
        <item x="241"/>
        <item x="147"/>
        <item x="174"/>
        <item x="13"/>
        <item m="1" x="339"/>
        <item t="default"/>
      </items>
    </pivotField>
    <pivotField showAll="0"/>
    <pivotField showAll="0">
      <items count="5">
        <item x="3"/>
        <item x="0"/>
        <item x="2"/>
        <item x="1"/>
        <item t="default"/>
      </items>
    </pivotField>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dataField="1"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dragToRow="0" dragToCol="0" dragToPage="0" showAll="0" defaultSubtotal="0"/>
  </pivotFields>
  <rowFields count="1">
    <field x="12"/>
  </rowFields>
  <rowItems count="3">
    <i>
      <x/>
    </i>
    <i>
      <x v="1"/>
    </i>
    <i t="grand">
      <x/>
    </i>
  </rowItems>
  <colItems count="1">
    <i/>
  </colItems>
  <dataFields count="1">
    <dataField name="Sum of Revenue " fld="15" baseField="0" baseItem="0"/>
  </dataFields>
  <chartFormats count="2">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FF7995-ABF2-477F-96CB-886BEBCD09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2">
    <pivotField showAll="0"/>
    <pivotField numFmtId="14" showAll="0">
      <items count="341">
        <item x="58"/>
        <item x="218"/>
        <item x="284"/>
        <item x="21"/>
        <item x="99"/>
        <item x="7"/>
        <item x="211"/>
        <item x="202"/>
        <item x="230"/>
        <item x="69"/>
        <item x="142"/>
        <item x="266"/>
        <item x="73"/>
        <item x="107"/>
        <item x="120"/>
        <item x="270"/>
        <item x="172"/>
        <item x="192"/>
        <item x="191"/>
        <item x="54"/>
        <item x="326"/>
        <item x="319"/>
        <item x="112"/>
        <item x="331"/>
        <item x="170"/>
        <item x="45"/>
        <item x="242"/>
        <item x="157"/>
        <item x="31"/>
        <item x="188"/>
        <item x="322"/>
        <item x="0"/>
        <item x="86"/>
        <item x="33"/>
        <item x="298"/>
        <item x="61"/>
        <item x="118"/>
        <item x="32"/>
        <item x="240"/>
        <item x="5"/>
        <item x="267"/>
        <item x="305"/>
        <item x="247"/>
        <item x="57"/>
        <item x="180"/>
        <item x="330"/>
        <item x="156"/>
        <item x="285"/>
        <item x="224"/>
        <item x="205"/>
        <item x="164"/>
        <item x="301"/>
        <item x="268"/>
        <item x="324"/>
        <item x="228"/>
        <item x="88"/>
        <item x="262"/>
        <item x="42"/>
        <item x="113"/>
        <item x="248"/>
        <item x="283"/>
        <item x="119"/>
        <item x="294"/>
        <item x="83"/>
        <item x="19"/>
        <item x="287"/>
        <item x="259"/>
        <item x="315"/>
        <item x="37"/>
        <item x="85"/>
        <item x="312"/>
        <item x="101"/>
        <item x="323"/>
        <item x="269"/>
        <item x="227"/>
        <item x="217"/>
        <item x="4"/>
        <item x="76"/>
        <item x="214"/>
        <item x="126"/>
        <item x="201"/>
        <item x="209"/>
        <item x="103"/>
        <item x="59"/>
        <item x="154"/>
        <item x="328"/>
        <item x="41"/>
        <item x="25"/>
        <item x="208"/>
        <item x="123"/>
        <item x="237"/>
        <item x="291"/>
        <item x="6"/>
        <item x="264"/>
        <item x="273"/>
        <item x="106"/>
        <item x="296"/>
        <item x="153"/>
        <item x="288"/>
        <item x="263"/>
        <item x="236"/>
        <item x="161"/>
        <item x="1"/>
        <item x="20"/>
        <item x="55"/>
        <item x="194"/>
        <item x="137"/>
        <item x="333"/>
        <item x="167"/>
        <item x="40"/>
        <item x="222"/>
        <item x="210"/>
        <item x="246"/>
        <item x="127"/>
        <item x="297"/>
        <item x="110"/>
        <item x="152"/>
        <item x="173"/>
        <item x="260"/>
        <item x="75"/>
        <item x="198"/>
        <item x="102"/>
        <item x="48"/>
        <item x="39"/>
        <item x="135"/>
        <item x="28"/>
        <item x="71"/>
        <item x="63"/>
        <item x="56"/>
        <item x="149"/>
        <item x="60"/>
        <item x="114"/>
        <item x="190"/>
        <item x="116"/>
        <item x="238"/>
        <item x="215"/>
        <item x="141"/>
        <item x="165"/>
        <item x="16"/>
        <item x="213"/>
        <item x="26"/>
        <item x="115"/>
        <item x="168"/>
        <item x="308"/>
        <item x="179"/>
        <item x="121"/>
        <item x="189"/>
        <item x="130"/>
        <item x="293"/>
        <item x="67"/>
        <item x="200"/>
        <item x="314"/>
        <item x="253"/>
        <item x="98"/>
        <item x="196"/>
        <item x="74"/>
        <item x="304"/>
        <item x="276"/>
        <item x="151"/>
        <item x="72"/>
        <item x="46"/>
        <item x="329"/>
        <item x="193"/>
        <item x="272"/>
        <item x="177"/>
        <item x="68"/>
        <item x="109"/>
        <item x="8"/>
        <item x="252"/>
        <item x="162"/>
        <item x="275"/>
        <item x="134"/>
        <item x="280"/>
        <item x="300"/>
        <item x="254"/>
        <item x="216"/>
        <item x="183"/>
        <item x="245"/>
        <item x="307"/>
        <item x="318"/>
        <item x="250"/>
        <item x="43"/>
        <item x="221"/>
        <item x="125"/>
        <item x="219"/>
        <item x="18"/>
        <item x="271"/>
        <item x="144"/>
        <item x="232"/>
        <item x="166"/>
        <item x="44"/>
        <item x="321"/>
        <item x="332"/>
        <item x="311"/>
        <item x="338"/>
        <item x="327"/>
        <item x="229"/>
        <item x="150"/>
        <item x="187"/>
        <item x="52"/>
        <item x="97"/>
        <item x="159"/>
        <item x="186"/>
        <item x="133"/>
        <item x="261"/>
        <item x="148"/>
        <item x="243"/>
        <item x="36"/>
        <item x="337"/>
        <item x="195"/>
        <item x="34"/>
        <item x="185"/>
        <item x="53"/>
        <item x="11"/>
        <item x="256"/>
        <item x="132"/>
        <item x="14"/>
        <item x="122"/>
        <item x="255"/>
        <item x="313"/>
        <item x="220"/>
        <item x="235"/>
        <item x="3"/>
        <item x="104"/>
        <item x="336"/>
        <item x="207"/>
        <item x="289"/>
        <item x="317"/>
        <item x="30"/>
        <item x="169"/>
        <item x="279"/>
        <item x="233"/>
        <item x="29"/>
        <item x="206"/>
        <item x="258"/>
        <item x="175"/>
        <item x="124"/>
        <item x="204"/>
        <item x="223"/>
        <item x="160"/>
        <item x="310"/>
        <item x="66"/>
        <item x="286"/>
        <item x="70"/>
        <item x="290"/>
        <item x="212"/>
        <item x="2"/>
        <item x="81"/>
        <item x="199"/>
        <item x="91"/>
        <item x="244"/>
        <item x="277"/>
        <item x="93"/>
        <item x="325"/>
        <item x="281"/>
        <item x="80"/>
        <item x="278"/>
        <item x="51"/>
        <item x="17"/>
        <item x="234"/>
        <item x="226"/>
        <item x="231"/>
        <item x="9"/>
        <item x="140"/>
        <item x="299"/>
        <item x="178"/>
        <item x="95"/>
        <item x="155"/>
        <item x="108"/>
        <item x="15"/>
        <item x="96"/>
        <item x="138"/>
        <item x="62"/>
        <item x="129"/>
        <item x="105"/>
        <item x="87"/>
        <item x="158"/>
        <item x="139"/>
        <item x="47"/>
        <item x="274"/>
        <item x="146"/>
        <item x="131"/>
        <item x="303"/>
        <item x="82"/>
        <item x="320"/>
        <item x="251"/>
        <item x="117"/>
        <item x="249"/>
        <item x="27"/>
        <item x="257"/>
        <item x="163"/>
        <item x="309"/>
        <item x="12"/>
        <item x="94"/>
        <item x="334"/>
        <item x="24"/>
        <item x="78"/>
        <item x="10"/>
        <item x="77"/>
        <item x="35"/>
        <item x="203"/>
        <item x="50"/>
        <item x="49"/>
        <item x="184"/>
        <item x="90"/>
        <item x="79"/>
        <item x="128"/>
        <item x="23"/>
        <item x="136"/>
        <item x="65"/>
        <item x="84"/>
        <item x="38"/>
        <item x="302"/>
        <item x="181"/>
        <item x="292"/>
        <item x="100"/>
        <item x="282"/>
        <item x="239"/>
        <item x="182"/>
        <item x="176"/>
        <item x="306"/>
        <item x="145"/>
        <item x="171"/>
        <item x="335"/>
        <item x="89"/>
        <item x="22"/>
        <item x="316"/>
        <item x="111"/>
        <item x="265"/>
        <item x="225"/>
        <item x="64"/>
        <item x="295"/>
        <item x="197"/>
        <item x="143"/>
        <item x="92"/>
        <item x="241"/>
        <item x="147"/>
        <item x="174"/>
        <item x="13"/>
        <item m="1" x="339"/>
        <item t="default"/>
      </items>
    </pivotField>
    <pivotField showAll="0"/>
    <pivotField showAll="0">
      <items count="5">
        <item x="3"/>
        <item x="0"/>
        <item x="2"/>
        <item x="1"/>
        <item t="default"/>
      </items>
    </pivotField>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dataField="1"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dragToRow="0" dragToCol="0" dragToPage="0" showAll="0" defaultSubtotal="0"/>
  </pivotFields>
  <rowFields count="1">
    <field x="11"/>
  </rowFields>
  <rowItems count="4">
    <i>
      <x/>
    </i>
    <i>
      <x v="1"/>
    </i>
    <i>
      <x v="2"/>
    </i>
    <i t="grand">
      <x/>
    </i>
  </rowItems>
  <colItems count="1">
    <i/>
  </colItems>
  <dataFields count="1">
    <dataField name="Sum of Revenue " fld="15" baseField="0" baseItem="0"/>
  </dataFields>
  <chartFormats count="8">
    <chartFormat chart="3" format="9"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1" count="1" selected="0">
            <x v="0"/>
          </reference>
        </references>
      </pivotArea>
    </chartFormat>
    <chartFormat chart="3" format="11">
      <pivotArea type="data" outline="0" fieldPosition="0">
        <references count="2">
          <reference field="4294967294" count="1" selected="0">
            <x v="0"/>
          </reference>
          <reference field="11" count="1" selected="0">
            <x v="2"/>
          </reference>
        </references>
      </pivotArea>
    </chartFormat>
    <chartFormat chart="3" format="12">
      <pivotArea type="data" outline="0" fieldPosition="0">
        <references count="2">
          <reference field="4294967294" count="1" selected="0">
            <x v="0"/>
          </reference>
          <reference field="11" count="1" selected="0">
            <x v="1"/>
          </reference>
        </references>
      </pivotArea>
    </chartFormat>
    <chartFormat chart="0" format="5">
      <pivotArea type="data" outline="0" fieldPosition="0">
        <references count="2">
          <reference field="4294967294" count="1" selected="0">
            <x v="0"/>
          </reference>
          <reference field="11" count="1" selected="0">
            <x v="0"/>
          </reference>
        </references>
      </pivotArea>
    </chartFormat>
    <chartFormat chart="0" format="6">
      <pivotArea type="data" outline="0" fieldPosition="0">
        <references count="2">
          <reference field="4294967294" count="1" selected="0">
            <x v="0"/>
          </reference>
          <reference field="11" count="1" selected="0">
            <x v="1"/>
          </reference>
        </references>
      </pivotArea>
    </chartFormat>
    <chartFormat chart="0" format="7">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D4C6BF-748C-49AF-8D45-CDBE1F28595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2">
    <pivotField showAll="0"/>
    <pivotField numFmtId="14" showAll="0">
      <items count="341">
        <item x="58"/>
        <item x="218"/>
        <item x="284"/>
        <item x="21"/>
        <item x="99"/>
        <item x="7"/>
        <item x="211"/>
        <item x="202"/>
        <item x="230"/>
        <item x="69"/>
        <item x="142"/>
        <item x="266"/>
        <item x="73"/>
        <item x="107"/>
        <item x="120"/>
        <item x="270"/>
        <item x="172"/>
        <item x="192"/>
        <item x="191"/>
        <item x="54"/>
        <item x="326"/>
        <item x="319"/>
        <item x="112"/>
        <item x="331"/>
        <item x="170"/>
        <item x="45"/>
        <item x="242"/>
        <item x="157"/>
        <item x="31"/>
        <item x="188"/>
        <item x="322"/>
        <item x="0"/>
        <item x="86"/>
        <item x="33"/>
        <item x="298"/>
        <item x="61"/>
        <item x="118"/>
        <item x="32"/>
        <item x="240"/>
        <item x="5"/>
        <item x="267"/>
        <item x="305"/>
        <item x="247"/>
        <item x="57"/>
        <item x="180"/>
        <item x="330"/>
        <item x="156"/>
        <item x="285"/>
        <item x="224"/>
        <item x="205"/>
        <item x="164"/>
        <item x="301"/>
        <item x="268"/>
        <item x="324"/>
        <item x="228"/>
        <item x="88"/>
        <item x="262"/>
        <item x="42"/>
        <item x="113"/>
        <item x="248"/>
        <item x="283"/>
        <item x="119"/>
        <item x="294"/>
        <item x="83"/>
        <item x="19"/>
        <item x="287"/>
        <item x="259"/>
        <item x="315"/>
        <item x="37"/>
        <item x="85"/>
        <item x="312"/>
        <item x="101"/>
        <item x="323"/>
        <item x="269"/>
        <item x="227"/>
        <item x="217"/>
        <item x="4"/>
        <item x="76"/>
        <item x="214"/>
        <item x="126"/>
        <item x="201"/>
        <item x="209"/>
        <item x="103"/>
        <item x="59"/>
        <item x="154"/>
        <item x="328"/>
        <item x="41"/>
        <item x="25"/>
        <item x="208"/>
        <item x="123"/>
        <item x="237"/>
        <item x="291"/>
        <item x="6"/>
        <item x="264"/>
        <item x="273"/>
        <item x="106"/>
        <item x="296"/>
        <item x="153"/>
        <item x="288"/>
        <item x="263"/>
        <item x="236"/>
        <item x="161"/>
        <item x="1"/>
        <item x="20"/>
        <item x="55"/>
        <item x="194"/>
        <item x="137"/>
        <item x="333"/>
        <item x="167"/>
        <item x="40"/>
        <item x="222"/>
        <item x="210"/>
        <item x="246"/>
        <item x="127"/>
        <item x="297"/>
        <item x="110"/>
        <item x="152"/>
        <item x="173"/>
        <item x="260"/>
        <item x="75"/>
        <item x="198"/>
        <item x="102"/>
        <item x="48"/>
        <item x="39"/>
        <item x="135"/>
        <item x="28"/>
        <item x="71"/>
        <item x="63"/>
        <item x="56"/>
        <item x="149"/>
        <item x="60"/>
        <item x="114"/>
        <item x="190"/>
        <item x="116"/>
        <item x="238"/>
        <item x="215"/>
        <item x="141"/>
        <item x="165"/>
        <item x="16"/>
        <item x="213"/>
        <item x="26"/>
        <item x="115"/>
        <item x="168"/>
        <item x="308"/>
        <item x="179"/>
        <item x="121"/>
        <item x="189"/>
        <item x="130"/>
        <item x="293"/>
        <item x="67"/>
        <item x="200"/>
        <item x="314"/>
        <item x="253"/>
        <item x="98"/>
        <item x="196"/>
        <item x="74"/>
        <item x="304"/>
        <item x="276"/>
        <item x="151"/>
        <item x="72"/>
        <item x="46"/>
        <item x="329"/>
        <item x="193"/>
        <item x="272"/>
        <item x="177"/>
        <item x="68"/>
        <item x="109"/>
        <item x="8"/>
        <item x="252"/>
        <item x="162"/>
        <item x="275"/>
        <item x="134"/>
        <item x="280"/>
        <item x="300"/>
        <item x="254"/>
        <item x="216"/>
        <item x="183"/>
        <item x="245"/>
        <item x="307"/>
        <item x="318"/>
        <item x="250"/>
        <item x="43"/>
        <item x="221"/>
        <item x="125"/>
        <item x="219"/>
        <item x="18"/>
        <item x="271"/>
        <item x="144"/>
        <item x="232"/>
        <item x="166"/>
        <item x="44"/>
        <item x="321"/>
        <item x="332"/>
        <item x="311"/>
        <item x="338"/>
        <item x="327"/>
        <item x="229"/>
        <item x="150"/>
        <item x="187"/>
        <item x="52"/>
        <item x="97"/>
        <item x="159"/>
        <item x="186"/>
        <item x="133"/>
        <item x="261"/>
        <item x="148"/>
        <item x="243"/>
        <item x="36"/>
        <item x="337"/>
        <item x="195"/>
        <item x="34"/>
        <item x="185"/>
        <item x="53"/>
        <item x="11"/>
        <item x="256"/>
        <item x="132"/>
        <item x="14"/>
        <item x="122"/>
        <item x="255"/>
        <item x="313"/>
        <item x="220"/>
        <item x="235"/>
        <item x="3"/>
        <item x="104"/>
        <item x="336"/>
        <item x="207"/>
        <item x="289"/>
        <item x="317"/>
        <item x="30"/>
        <item x="169"/>
        <item x="279"/>
        <item x="233"/>
        <item x="29"/>
        <item x="206"/>
        <item x="258"/>
        <item x="175"/>
        <item x="124"/>
        <item x="204"/>
        <item x="223"/>
        <item x="160"/>
        <item x="310"/>
        <item x="66"/>
        <item x="286"/>
        <item x="70"/>
        <item x="290"/>
        <item x="212"/>
        <item x="2"/>
        <item x="81"/>
        <item x="199"/>
        <item x="91"/>
        <item x="244"/>
        <item x="277"/>
        <item x="93"/>
        <item x="325"/>
        <item x="281"/>
        <item x="80"/>
        <item x="278"/>
        <item x="51"/>
        <item x="17"/>
        <item x="234"/>
        <item x="226"/>
        <item x="231"/>
        <item x="9"/>
        <item x="140"/>
        <item x="299"/>
        <item x="178"/>
        <item x="95"/>
        <item x="155"/>
        <item x="108"/>
        <item x="15"/>
        <item x="96"/>
        <item x="138"/>
        <item x="62"/>
        <item x="129"/>
        <item x="105"/>
        <item x="87"/>
        <item x="158"/>
        <item x="139"/>
        <item x="47"/>
        <item x="274"/>
        <item x="146"/>
        <item x="131"/>
        <item x="303"/>
        <item x="82"/>
        <item x="320"/>
        <item x="251"/>
        <item x="117"/>
        <item x="249"/>
        <item x="27"/>
        <item x="257"/>
        <item x="163"/>
        <item x="309"/>
        <item x="12"/>
        <item x="94"/>
        <item x="334"/>
        <item x="24"/>
        <item x="78"/>
        <item x="10"/>
        <item x="77"/>
        <item x="35"/>
        <item x="203"/>
        <item x="50"/>
        <item x="49"/>
        <item x="184"/>
        <item x="90"/>
        <item x="79"/>
        <item x="128"/>
        <item x="23"/>
        <item x="136"/>
        <item x="65"/>
        <item x="84"/>
        <item x="38"/>
        <item x="302"/>
        <item x="181"/>
        <item x="292"/>
        <item x="100"/>
        <item x="282"/>
        <item x="239"/>
        <item x="182"/>
        <item x="176"/>
        <item x="306"/>
        <item x="145"/>
        <item x="171"/>
        <item x="335"/>
        <item x="89"/>
        <item x="22"/>
        <item x="316"/>
        <item x="111"/>
        <item x="265"/>
        <item x="225"/>
        <item x="64"/>
        <item x="295"/>
        <item x="197"/>
        <item x="143"/>
        <item x="92"/>
        <item x="241"/>
        <item x="147"/>
        <item x="174"/>
        <item x="13"/>
        <item m="1" x="339"/>
        <item t="default"/>
      </items>
    </pivotField>
    <pivotField showAll="0"/>
    <pivotField showAll="0">
      <items count="5">
        <item x="3"/>
        <item x="0"/>
        <item x="2"/>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items count="3">
        <item x="0"/>
        <item x="1"/>
        <item x="2"/>
      </items>
    </pivotField>
    <pivotField dragToRow="0" dragToCol="0" dragToPage="0" showAll="0" defaultSubtotal="0"/>
  </pivotFields>
  <rowItems count="1">
    <i/>
  </rowItems>
  <colItems count="1">
    <i/>
  </colItems>
  <dataFields count="1">
    <dataField name="Sum of Quantity_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1B8151-F4BF-43C0-BB86-1B355352973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22">
    <pivotField showAll="0"/>
    <pivotField numFmtId="14" showAll="0">
      <items count="341">
        <item x="58"/>
        <item x="218"/>
        <item x="284"/>
        <item x="21"/>
        <item x="99"/>
        <item x="7"/>
        <item x="211"/>
        <item x="202"/>
        <item x="230"/>
        <item x="69"/>
        <item x="142"/>
        <item x="266"/>
        <item x="73"/>
        <item x="107"/>
        <item x="120"/>
        <item x="270"/>
        <item x="172"/>
        <item x="192"/>
        <item x="191"/>
        <item x="54"/>
        <item x="326"/>
        <item x="319"/>
        <item x="112"/>
        <item x="331"/>
        <item x="170"/>
        <item x="45"/>
        <item x="242"/>
        <item x="157"/>
        <item x="31"/>
        <item x="188"/>
        <item x="322"/>
        <item x="0"/>
        <item x="86"/>
        <item x="33"/>
        <item x="298"/>
        <item x="61"/>
        <item x="118"/>
        <item x="32"/>
        <item x="240"/>
        <item x="5"/>
        <item x="267"/>
        <item x="305"/>
        <item x="247"/>
        <item x="57"/>
        <item x="180"/>
        <item x="330"/>
        <item x="156"/>
        <item x="285"/>
        <item x="224"/>
        <item x="205"/>
        <item x="164"/>
        <item x="301"/>
        <item x="268"/>
        <item x="324"/>
        <item x="228"/>
        <item x="88"/>
        <item x="262"/>
        <item x="42"/>
        <item x="113"/>
        <item x="248"/>
        <item x="283"/>
        <item x="119"/>
        <item x="294"/>
        <item x="83"/>
        <item x="19"/>
        <item x="287"/>
        <item x="259"/>
        <item x="315"/>
        <item x="37"/>
        <item x="85"/>
        <item x="312"/>
        <item x="101"/>
        <item x="323"/>
        <item x="269"/>
        <item x="227"/>
        <item x="217"/>
        <item x="4"/>
        <item x="76"/>
        <item x="214"/>
        <item x="126"/>
        <item x="201"/>
        <item x="209"/>
        <item x="103"/>
        <item x="59"/>
        <item x="154"/>
        <item x="328"/>
        <item x="41"/>
        <item x="25"/>
        <item x="208"/>
        <item x="123"/>
        <item x="237"/>
        <item x="291"/>
        <item x="6"/>
        <item x="264"/>
        <item x="273"/>
        <item x="106"/>
        <item x="296"/>
        <item x="153"/>
        <item x="288"/>
        <item x="263"/>
        <item x="236"/>
        <item x="161"/>
        <item x="1"/>
        <item x="20"/>
        <item x="55"/>
        <item x="194"/>
        <item x="137"/>
        <item x="333"/>
        <item x="167"/>
        <item x="40"/>
        <item x="222"/>
        <item x="210"/>
        <item x="246"/>
        <item x="127"/>
        <item x="297"/>
        <item x="110"/>
        <item x="152"/>
        <item x="173"/>
        <item x="260"/>
        <item x="75"/>
        <item x="198"/>
        <item x="102"/>
        <item x="48"/>
        <item x="39"/>
        <item x="135"/>
        <item x="28"/>
        <item x="71"/>
        <item x="63"/>
        <item x="56"/>
        <item x="149"/>
        <item x="60"/>
        <item x="114"/>
        <item x="190"/>
        <item x="116"/>
        <item x="238"/>
        <item x="215"/>
        <item x="141"/>
        <item x="165"/>
        <item x="16"/>
        <item x="213"/>
        <item x="26"/>
        <item x="115"/>
        <item x="168"/>
        <item x="308"/>
        <item x="179"/>
        <item x="121"/>
        <item x="189"/>
        <item x="130"/>
        <item x="293"/>
        <item x="67"/>
        <item x="200"/>
        <item x="314"/>
        <item x="253"/>
        <item x="98"/>
        <item x="196"/>
        <item x="74"/>
        <item x="304"/>
        <item x="276"/>
        <item x="151"/>
        <item x="72"/>
        <item x="46"/>
        <item x="329"/>
        <item x="193"/>
        <item x="272"/>
        <item x="177"/>
        <item x="68"/>
        <item x="109"/>
        <item x="8"/>
        <item x="252"/>
        <item x="162"/>
        <item x="275"/>
        <item x="134"/>
        <item x="280"/>
        <item x="300"/>
        <item x="254"/>
        <item x="216"/>
        <item x="183"/>
        <item x="245"/>
        <item x="307"/>
        <item x="318"/>
        <item x="250"/>
        <item x="43"/>
        <item x="221"/>
        <item x="125"/>
        <item x="219"/>
        <item x="18"/>
        <item x="271"/>
        <item x="144"/>
        <item x="232"/>
        <item x="166"/>
        <item x="44"/>
        <item x="321"/>
        <item x="332"/>
        <item x="311"/>
        <item x="338"/>
        <item x="327"/>
        <item x="229"/>
        <item x="150"/>
        <item x="187"/>
        <item x="52"/>
        <item x="97"/>
        <item x="159"/>
        <item x="186"/>
        <item x="133"/>
        <item x="261"/>
        <item x="148"/>
        <item x="243"/>
        <item x="36"/>
        <item x="337"/>
        <item x="195"/>
        <item x="34"/>
        <item x="185"/>
        <item x="53"/>
        <item x="11"/>
        <item x="256"/>
        <item x="132"/>
        <item x="14"/>
        <item x="122"/>
        <item x="255"/>
        <item x="313"/>
        <item x="220"/>
        <item x="235"/>
        <item x="3"/>
        <item x="104"/>
        <item x="336"/>
        <item x="207"/>
        <item x="289"/>
        <item x="317"/>
        <item x="30"/>
        <item x="169"/>
        <item x="279"/>
        <item x="233"/>
        <item x="29"/>
        <item x="206"/>
        <item x="258"/>
        <item x="175"/>
        <item x="124"/>
        <item x="204"/>
        <item x="223"/>
        <item x="160"/>
        <item x="310"/>
        <item x="66"/>
        <item x="286"/>
        <item x="70"/>
        <item x="290"/>
        <item x="212"/>
        <item x="2"/>
        <item x="81"/>
        <item x="199"/>
        <item x="91"/>
        <item x="244"/>
        <item x="277"/>
        <item x="93"/>
        <item x="325"/>
        <item x="281"/>
        <item x="80"/>
        <item x="278"/>
        <item x="51"/>
        <item x="17"/>
        <item x="234"/>
        <item x="226"/>
        <item x="231"/>
        <item x="9"/>
        <item x="140"/>
        <item x="299"/>
        <item x="178"/>
        <item x="95"/>
        <item x="155"/>
        <item x="108"/>
        <item x="15"/>
        <item x="96"/>
        <item x="138"/>
        <item x="62"/>
        <item x="129"/>
        <item x="105"/>
        <item x="87"/>
        <item x="158"/>
        <item x="139"/>
        <item x="47"/>
        <item x="274"/>
        <item x="146"/>
        <item x="131"/>
        <item x="303"/>
        <item x="82"/>
        <item x="320"/>
        <item x="251"/>
        <item x="117"/>
        <item x="249"/>
        <item x="27"/>
        <item x="257"/>
        <item x="163"/>
        <item x="309"/>
        <item x="12"/>
        <item x="94"/>
        <item x="334"/>
        <item x="24"/>
        <item x="78"/>
        <item x="10"/>
        <item x="77"/>
        <item x="35"/>
        <item x="203"/>
        <item x="50"/>
        <item x="49"/>
        <item x="184"/>
        <item x="90"/>
        <item x="79"/>
        <item x="128"/>
        <item x="23"/>
        <item x="136"/>
        <item x="65"/>
        <item x="84"/>
        <item x="38"/>
        <item x="302"/>
        <item x="181"/>
        <item x="292"/>
        <item x="100"/>
        <item x="282"/>
        <item x="239"/>
        <item x="182"/>
        <item x="176"/>
        <item x="306"/>
        <item x="145"/>
        <item x="171"/>
        <item x="335"/>
        <item x="89"/>
        <item x="22"/>
        <item x="316"/>
        <item x="111"/>
        <item x="265"/>
        <item x="225"/>
        <item x="64"/>
        <item x="295"/>
        <item x="197"/>
        <item x="143"/>
        <item x="92"/>
        <item x="241"/>
        <item x="147"/>
        <item x="174"/>
        <item x="13"/>
        <item m="1" x="339"/>
        <item t="default"/>
      </items>
    </pivotField>
    <pivotField showAll="0"/>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items count="3">
        <item x="0"/>
        <item x="1"/>
        <item x="2"/>
      </items>
    </pivotField>
    <pivotField dragToRow="0" dragToCol="0" dragToPage="0" showAll="0" defaultSubtotal="0"/>
  </pivotFields>
  <rowItems count="1">
    <i/>
  </rowItems>
  <colItems count="1">
    <i/>
  </colItems>
  <dataFields count="1">
    <dataField name="Sum of Revenue "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2987FB-C526-4B9D-9C00-408E850611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22">
    <pivotField showAll="0"/>
    <pivotField numFmtId="14" showAll="0">
      <items count="341">
        <item x="58"/>
        <item x="218"/>
        <item x="284"/>
        <item x="21"/>
        <item x="99"/>
        <item x="7"/>
        <item x="211"/>
        <item x="202"/>
        <item x="230"/>
        <item x="69"/>
        <item x="142"/>
        <item x="266"/>
        <item x="73"/>
        <item x="107"/>
        <item x="120"/>
        <item x="270"/>
        <item x="172"/>
        <item x="192"/>
        <item x="191"/>
        <item x="54"/>
        <item x="326"/>
        <item x="319"/>
        <item x="112"/>
        <item x="331"/>
        <item x="170"/>
        <item x="45"/>
        <item x="242"/>
        <item x="157"/>
        <item x="31"/>
        <item x="188"/>
        <item x="322"/>
        <item x="0"/>
        <item x="86"/>
        <item x="33"/>
        <item x="298"/>
        <item x="61"/>
        <item x="118"/>
        <item x="32"/>
        <item x="240"/>
        <item x="5"/>
        <item x="267"/>
        <item x="305"/>
        <item x="247"/>
        <item x="57"/>
        <item x="180"/>
        <item x="330"/>
        <item x="156"/>
        <item x="285"/>
        <item x="224"/>
        <item x="205"/>
        <item x="164"/>
        <item x="301"/>
        <item x="268"/>
        <item x="324"/>
        <item x="228"/>
        <item x="88"/>
        <item x="262"/>
        <item x="42"/>
        <item x="113"/>
        <item x="248"/>
        <item x="283"/>
        <item x="119"/>
        <item x="294"/>
        <item x="83"/>
        <item x="19"/>
        <item x="287"/>
        <item x="259"/>
        <item x="315"/>
        <item x="37"/>
        <item x="85"/>
        <item x="312"/>
        <item x="101"/>
        <item x="323"/>
        <item x="269"/>
        <item x="227"/>
        <item x="217"/>
        <item x="4"/>
        <item x="76"/>
        <item x="214"/>
        <item x="126"/>
        <item x="201"/>
        <item x="209"/>
        <item x="103"/>
        <item x="59"/>
        <item x="154"/>
        <item x="328"/>
        <item x="41"/>
        <item x="25"/>
        <item x="208"/>
        <item x="123"/>
        <item x="237"/>
        <item x="291"/>
        <item x="6"/>
        <item x="264"/>
        <item x="273"/>
        <item x="106"/>
        <item x="296"/>
        <item x="153"/>
        <item x="288"/>
        <item x="263"/>
        <item x="236"/>
        <item x="161"/>
        <item x="1"/>
        <item x="20"/>
        <item x="55"/>
        <item x="194"/>
        <item x="137"/>
        <item x="333"/>
        <item x="167"/>
        <item x="40"/>
        <item x="222"/>
        <item x="210"/>
        <item x="246"/>
        <item x="127"/>
        <item x="297"/>
        <item x="110"/>
        <item x="152"/>
        <item x="173"/>
        <item x="260"/>
        <item x="75"/>
        <item x="198"/>
        <item x="102"/>
        <item x="48"/>
        <item x="39"/>
        <item x="135"/>
        <item x="28"/>
        <item x="71"/>
        <item x="63"/>
        <item x="56"/>
        <item x="149"/>
        <item x="60"/>
        <item x="114"/>
        <item x="190"/>
        <item x="116"/>
        <item x="238"/>
        <item x="215"/>
        <item x="141"/>
        <item x="165"/>
        <item x="16"/>
        <item x="213"/>
        <item x="26"/>
        <item x="115"/>
        <item x="168"/>
        <item x="308"/>
        <item x="179"/>
        <item x="121"/>
        <item x="189"/>
        <item x="130"/>
        <item x="293"/>
        <item x="67"/>
        <item x="200"/>
        <item x="314"/>
        <item x="253"/>
        <item x="98"/>
        <item x="196"/>
        <item x="74"/>
        <item x="304"/>
        <item x="276"/>
        <item x="151"/>
        <item x="72"/>
        <item x="46"/>
        <item x="329"/>
        <item x="193"/>
        <item x="272"/>
        <item x="177"/>
        <item x="68"/>
        <item x="109"/>
        <item x="8"/>
        <item x="252"/>
        <item x="162"/>
        <item x="275"/>
        <item x="134"/>
        <item x="280"/>
        <item x="300"/>
        <item x="254"/>
        <item x="216"/>
        <item x="183"/>
        <item x="245"/>
        <item x="307"/>
        <item x="318"/>
        <item x="250"/>
        <item x="43"/>
        <item x="221"/>
        <item x="125"/>
        <item x="219"/>
        <item x="18"/>
        <item x="271"/>
        <item x="144"/>
        <item x="232"/>
        <item x="166"/>
        <item x="44"/>
        <item x="321"/>
        <item x="332"/>
        <item x="311"/>
        <item x="338"/>
        <item x="327"/>
        <item x="229"/>
        <item x="150"/>
        <item x="187"/>
        <item x="52"/>
        <item x="97"/>
        <item x="159"/>
        <item x="186"/>
        <item x="133"/>
        <item x="261"/>
        <item x="148"/>
        <item x="243"/>
        <item x="36"/>
        <item x="337"/>
        <item x="195"/>
        <item x="34"/>
        <item x="185"/>
        <item x="53"/>
        <item x="11"/>
        <item x="256"/>
        <item x="132"/>
        <item x="14"/>
        <item x="122"/>
        <item x="255"/>
        <item x="313"/>
        <item x="220"/>
        <item x="235"/>
        <item x="3"/>
        <item x="104"/>
        <item x="336"/>
        <item x="207"/>
        <item x="289"/>
        <item x="317"/>
        <item x="30"/>
        <item x="169"/>
        <item x="279"/>
        <item x="233"/>
        <item x="29"/>
        <item x="206"/>
        <item x="258"/>
        <item x="175"/>
        <item x="124"/>
        <item x="204"/>
        <item x="223"/>
        <item x="160"/>
        <item x="310"/>
        <item x="66"/>
        <item x="286"/>
        <item x="70"/>
        <item x="290"/>
        <item x="212"/>
        <item x="2"/>
        <item x="81"/>
        <item x="199"/>
        <item x="91"/>
        <item x="244"/>
        <item x="277"/>
        <item x="93"/>
        <item x="325"/>
        <item x="281"/>
        <item x="80"/>
        <item x="278"/>
        <item x="51"/>
        <item x="17"/>
        <item x="234"/>
        <item x="226"/>
        <item x="231"/>
        <item x="9"/>
        <item x="140"/>
        <item x="299"/>
        <item x="178"/>
        <item x="95"/>
        <item x="155"/>
        <item x="108"/>
        <item x="15"/>
        <item x="96"/>
        <item x="138"/>
        <item x="62"/>
        <item x="129"/>
        <item x="105"/>
        <item x="87"/>
        <item x="158"/>
        <item x="139"/>
        <item x="47"/>
        <item x="274"/>
        <item x="146"/>
        <item x="131"/>
        <item x="303"/>
        <item x="82"/>
        <item x="320"/>
        <item x="251"/>
        <item x="117"/>
        <item x="249"/>
        <item x="27"/>
        <item x="257"/>
        <item x="163"/>
        <item x="309"/>
        <item x="12"/>
        <item x="94"/>
        <item x="334"/>
        <item x="24"/>
        <item x="78"/>
        <item x="10"/>
        <item x="77"/>
        <item x="35"/>
        <item x="203"/>
        <item x="50"/>
        <item x="49"/>
        <item x="184"/>
        <item x="90"/>
        <item x="79"/>
        <item x="128"/>
        <item x="23"/>
        <item x="136"/>
        <item x="65"/>
        <item x="84"/>
        <item x="38"/>
        <item x="302"/>
        <item x="181"/>
        <item x="292"/>
        <item x="100"/>
        <item x="282"/>
        <item x="239"/>
        <item x="182"/>
        <item x="176"/>
        <item x="306"/>
        <item x="145"/>
        <item x="171"/>
        <item x="335"/>
        <item x="89"/>
        <item x="22"/>
        <item x="316"/>
        <item x="111"/>
        <item x="265"/>
        <item x="225"/>
        <item x="64"/>
        <item x="295"/>
        <item x="197"/>
        <item x="143"/>
        <item x="92"/>
        <item x="241"/>
        <item x="147"/>
        <item x="174"/>
        <item x="13"/>
        <item m="1" x="339"/>
        <item t="default"/>
      </items>
    </pivotField>
    <pivotField showAll="0"/>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items count="3">
        <item x="0"/>
        <item x="1"/>
        <item x="2"/>
      </items>
    </pivotField>
    <pivotField dragToRow="0" dragToCol="0" dragToPage="0" showAll="0" defaultSubtotal="0"/>
  </pivotFields>
  <rowItems count="1">
    <i/>
  </rowItems>
  <colItems count="1">
    <i/>
  </colItems>
  <dataFields count="1">
    <dataField name="Sum of 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58351E-94D1-44CF-9AB8-47AAF69767E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2">
    <pivotField showAll="0"/>
    <pivotField numFmtId="14" showAll="0">
      <items count="341">
        <item x="58"/>
        <item x="218"/>
        <item x="284"/>
        <item x="21"/>
        <item x="99"/>
        <item x="7"/>
        <item x="211"/>
        <item x="202"/>
        <item x="230"/>
        <item x="69"/>
        <item x="142"/>
        <item x="266"/>
        <item x="73"/>
        <item x="107"/>
        <item x="120"/>
        <item x="270"/>
        <item x="172"/>
        <item x="192"/>
        <item x="191"/>
        <item x="54"/>
        <item x="326"/>
        <item x="319"/>
        <item x="112"/>
        <item x="331"/>
        <item x="170"/>
        <item x="45"/>
        <item x="242"/>
        <item x="157"/>
        <item x="31"/>
        <item x="188"/>
        <item x="322"/>
        <item x="0"/>
        <item x="86"/>
        <item x="33"/>
        <item x="298"/>
        <item x="61"/>
        <item x="118"/>
        <item x="32"/>
        <item x="240"/>
        <item x="5"/>
        <item x="267"/>
        <item x="305"/>
        <item x="247"/>
        <item x="57"/>
        <item x="180"/>
        <item x="330"/>
        <item x="156"/>
        <item x="285"/>
        <item x="224"/>
        <item x="205"/>
        <item x="164"/>
        <item x="301"/>
        <item x="268"/>
        <item x="324"/>
        <item x="228"/>
        <item x="88"/>
        <item x="262"/>
        <item x="42"/>
        <item x="113"/>
        <item x="248"/>
        <item x="283"/>
        <item x="119"/>
        <item x="294"/>
        <item x="83"/>
        <item x="19"/>
        <item x="287"/>
        <item x="259"/>
        <item x="315"/>
        <item x="37"/>
        <item x="85"/>
        <item x="312"/>
        <item x="101"/>
        <item x="323"/>
        <item x="269"/>
        <item x="227"/>
        <item x="217"/>
        <item x="4"/>
        <item x="76"/>
        <item x="214"/>
        <item x="126"/>
        <item x="201"/>
        <item x="209"/>
        <item x="103"/>
        <item x="59"/>
        <item x="154"/>
        <item x="328"/>
        <item x="41"/>
        <item x="25"/>
        <item x="208"/>
        <item x="123"/>
        <item x="237"/>
        <item x="291"/>
        <item x="6"/>
        <item x="264"/>
        <item x="273"/>
        <item x="106"/>
        <item x="296"/>
        <item x="153"/>
        <item x="288"/>
        <item x="263"/>
        <item x="236"/>
        <item x="161"/>
        <item x="1"/>
        <item x="20"/>
        <item x="55"/>
        <item x="194"/>
        <item x="137"/>
        <item x="333"/>
        <item x="167"/>
        <item x="40"/>
        <item x="222"/>
        <item x="210"/>
        <item x="246"/>
        <item x="127"/>
        <item x="297"/>
        <item x="110"/>
        <item x="152"/>
        <item x="173"/>
        <item x="260"/>
        <item x="75"/>
        <item x="198"/>
        <item x="102"/>
        <item x="48"/>
        <item x="39"/>
        <item x="135"/>
        <item x="28"/>
        <item x="71"/>
        <item x="63"/>
        <item x="56"/>
        <item x="149"/>
        <item x="60"/>
        <item x="114"/>
        <item x="190"/>
        <item x="116"/>
        <item x="238"/>
        <item x="215"/>
        <item x="141"/>
        <item x="165"/>
        <item x="16"/>
        <item x="213"/>
        <item x="26"/>
        <item x="115"/>
        <item x="168"/>
        <item x="308"/>
        <item x="179"/>
        <item x="121"/>
        <item x="189"/>
        <item x="130"/>
        <item x="293"/>
        <item x="67"/>
        <item x="200"/>
        <item x="314"/>
        <item x="253"/>
        <item x="98"/>
        <item x="196"/>
        <item x="74"/>
        <item x="304"/>
        <item x="276"/>
        <item x="151"/>
        <item x="72"/>
        <item x="46"/>
        <item x="329"/>
        <item x="193"/>
        <item x="272"/>
        <item x="177"/>
        <item x="68"/>
        <item x="109"/>
        <item x="8"/>
        <item x="252"/>
        <item x="162"/>
        <item x="275"/>
        <item x="134"/>
        <item x="280"/>
        <item x="300"/>
        <item x="254"/>
        <item x="216"/>
        <item x="183"/>
        <item x="245"/>
        <item x="307"/>
        <item x="318"/>
        <item x="250"/>
        <item x="43"/>
        <item x="221"/>
        <item x="125"/>
        <item x="219"/>
        <item x="18"/>
        <item x="271"/>
        <item x="144"/>
        <item x="232"/>
        <item x="166"/>
        <item x="44"/>
        <item x="321"/>
        <item x="332"/>
        <item x="311"/>
        <item x="338"/>
        <item x="327"/>
        <item x="229"/>
        <item x="150"/>
        <item x="187"/>
        <item x="52"/>
        <item x="97"/>
        <item x="159"/>
        <item x="186"/>
        <item x="133"/>
        <item x="261"/>
        <item x="148"/>
        <item x="243"/>
        <item x="36"/>
        <item x="337"/>
        <item x="195"/>
        <item x="34"/>
        <item x="185"/>
        <item x="53"/>
        <item x="11"/>
        <item x="256"/>
        <item x="132"/>
        <item x="14"/>
        <item x="122"/>
        <item x="255"/>
        <item x="313"/>
        <item x="220"/>
        <item x="235"/>
        <item x="3"/>
        <item x="104"/>
        <item x="336"/>
        <item x="207"/>
        <item x="289"/>
        <item x="317"/>
        <item x="30"/>
        <item x="169"/>
        <item x="279"/>
        <item x="233"/>
        <item x="29"/>
        <item x="206"/>
        <item x="258"/>
        <item x="175"/>
        <item x="124"/>
        <item x="204"/>
        <item x="223"/>
        <item x="160"/>
        <item x="310"/>
        <item x="66"/>
        <item x="286"/>
        <item x="70"/>
        <item x="290"/>
        <item x="212"/>
        <item x="2"/>
        <item x="81"/>
        <item x="199"/>
        <item x="91"/>
        <item x="244"/>
        <item x="277"/>
        <item x="93"/>
        <item x="325"/>
        <item x="281"/>
        <item x="80"/>
        <item x="278"/>
        <item x="51"/>
        <item x="17"/>
        <item x="234"/>
        <item x="226"/>
        <item x="231"/>
        <item x="9"/>
        <item x="140"/>
        <item x="299"/>
        <item x="178"/>
        <item x="95"/>
        <item x="155"/>
        <item x="108"/>
        <item x="15"/>
        <item x="96"/>
        <item x="138"/>
        <item x="62"/>
        <item x="129"/>
        <item x="105"/>
        <item x="87"/>
        <item x="158"/>
        <item x="139"/>
        <item x="47"/>
        <item x="274"/>
        <item x="146"/>
        <item x="131"/>
        <item x="303"/>
        <item x="82"/>
        <item x="320"/>
        <item x="251"/>
        <item x="117"/>
        <item x="249"/>
        <item x="27"/>
        <item x="257"/>
        <item x="163"/>
        <item x="309"/>
        <item x="12"/>
        <item x="94"/>
        <item x="334"/>
        <item x="24"/>
        <item x="78"/>
        <item x="10"/>
        <item x="77"/>
        <item x="35"/>
        <item x="203"/>
        <item x="50"/>
        <item x="49"/>
        <item x="184"/>
        <item x="90"/>
        <item x="79"/>
        <item x="128"/>
        <item x="23"/>
        <item x="136"/>
        <item x="65"/>
        <item x="84"/>
        <item x="38"/>
        <item x="302"/>
        <item x="181"/>
        <item x="292"/>
        <item x="100"/>
        <item x="282"/>
        <item x="239"/>
        <item x="182"/>
        <item x="176"/>
        <item x="306"/>
        <item x="145"/>
        <item x="171"/>
        <item x="335"/>
        <item x="89"/>
        <item x="22"/>
        <item x="316"/>
        <item x="111"/>
        <item x="265"/>
        <item x="225"/>
        <item x="64"/>
        <item x="295"/>
        <item x="197"/>
        <item x="143"/>
        <item x="92"/>
        <item x="241"/>
        <item x="147"/>
        <item x="174"/>
        <item x="13"/>
        <item m="1" x="339"/>
        <item t="default"/>
      </items>
    </pivotField>
    <pivotField showAll="0"/>
    <pivotField showAll="0">
      <items count="5">
        <item x="3"/>
        <item x="0"/>
        <item x="2"/>
        <item x="1"/>
        <item t="default"/>
      </items>
    </pivotField>
    <pivotField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dragToRow="0" dragToCol="0" dragToPage="0" showAll="0" defaultSubtotal="0"/>
  </pivotFields>
  <rowFields count="1">
    <field x="6"/>
  </rowFields>
  <rowItems count="5">
    <i>
      <x/>
    </i>
    <i>
      <x v="1"/>
    </i>
    <i>
      <x v="2"/>
    </i>
    <i>
      <x v="3"/>
    </i>
    <i t="grand">
      <x/>
    </i>
  </rowItems>
  <colItems count="1">
    <i/>
  </colItems>
  <dataFields count="1">
    <dataField name="Sum of Revenue " fld="15" baseField="0" baseItem="0"/>
  </dataFields>
  <chartFormats count="2">
    <chartFormat chart="5" format="9"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47B4D24-D17C-4FEC-99DD-467DF7289390}" autoFormatId="16" applyNumberFormats="0" applyBorderFormats="0" applyFontFormats="0" applyPatternFormats="0" applyAlignmentFormats="0" applyWidthHeightFormats="0">
  <queryTableRefresh nextId="19" unboundColumnsRight="3">
    <queryTableFields count="16">
      <queryTableField id="1" name="Product_ID" tableColumnId="1"/>
      <queryTableField id="2" name="Sale_Date" tableColumnId="2"/>
      <queryTableField id="3" name="Sales_Rep" tableColumnId="3"/>
      <queryTableField id="4" name="Region" tableColumnId="4"/>
      <queryTableField id="6" name="Quantity_Sold" tableColumnId="6"/>
      <queryTableField id="7" name="Product_Category" tableColumnId="7"/>
      <queryTableField id="8" name="Unit_Cost" tableColumnId="8"/>
      <queryTableField id="9" name="Unit_Price" tableColumnId="9"/>
      <queryTableField id="10" name="Customer_Type" tableColumnId="10"/>
      <queryTableField id="11" name="Discount" tableColumnId="11"/>
      <queryTableField id="12" name="Payment_Method" tableColumnId="12"/>
      <queryTableField id="13" name="Sales_Channel" tableColumnId="13"/>
      <queryTableField id="14" name="Region_and_Sales_Rep" tableColumnId="14"/>
      <queryTableField id="16" dataBound="0" tableColumnId="16"/>
      <queryTableField id="18" dataBound="0" tableColumnId="15"/>
      <queryTableField id="17" dataBound="0" tableColumnId="17"/>
    </queryTableFields>
    <queryTableDeletedFields count="1">
      <deletedField name="Sales_Amoun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 xr10:uid="{19B327D7-83F5-476A-83F5-F5C309C58141}" sourceName="Months (Sale_Date)">
  <pivotTables>
    <pivotTable tabId="4" name="PivotTable9"/>
    <pivotTable tabId="10" name="PivotTable7"/>
    <pivotTable tabId="8" name="PivotTable5"/>
    <pivotTable tabId="9" name="PivotTable6"/>
    <pivotTable tabId="5" name="PivotTable2"/>
    <pivotTable tabId="6" name="PivotTable3"/>
    <pivotTable tabId="15" name="PivotTable10"/>
    <pivotTable tabId="20" name="PivotTable13"/>
    <pivotTable tabId="16" name="PivotTable1"/>
    <pivotTable tabId="16" name="PivotTable4"/>
  </pivotTables>
  <data>
    <tabular pivotCacheId="1002576781">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4D96F6-BCDF-4CAA-B7CA-EF4EB817E868}" sourceName="Region">
  <pivotTables>
    <pivotTable tabId="5" name="PivotTable2"/>
    <pivotTable tabId="10" name="PivotTable7"/>
    <pivotTable tabId="8" name="PivotTable5"/>
    <pivotTable tabId="9" name="PivotTable6"/>
    <pivotTable tabId="4" name="PivotTable9"/>
    <pivotTable tabId="6" name="PivotTable3"/>
    <pivotTable tabId="15" name="PivotTable10"/>
    <pivotTable tabId="20" name="PivotTable13"/>
    <pivotTable tabId="16" name="PivotTable1"/>
    <pivotTable tabId="16" name="PivotTable4"/>
  </pivotTables>
  <data>
    <tabular pivotCacheId="1002576781">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Sale_Date)" xr10:uid="{D9093DAA-2548-4B2C-A9D2-DC3B57AA3E42}" cache="Slicer_Months__Sale_Date" caption="Months (Sale_Date)"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0845B49-A17F-4CFD-9EF3-9C4C03914C3F}"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Sale_Date) 1" xr10:uid="{53BBC12D-7861-4664-8D03-923B06CB2A4B}" cache="Slicer_Months__Sale_Date" caption="Months (Sale_Date)" columnCount="3" style="Style" rowHeight="234950"/>
  <slicer name="Region 1" xr10:uid="{68A99542-5840-4CDB-BF38-004980DE0683}" cache="Slicer_Region" caption="Region" style="Styl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892105-1C77-4D05-96F9-17DFBBFBA8D6}" name="sales_data_1" displayName="sales_data_1" ref="A1:P998" tableType="queryTable" totalsRowShown="0">
  <autoFilter ref="A1:P998" xr:uid="{C9892105-1C77-4D05-96F9-17DFBBFBA8D6}"/>
  <tableColumns count="16">
    <tableColumn id="1" xr3:uid="{F0605B6E-3F4D-4E33-8A20-DCBEF3209642}" uniqueName="1" name="Product_ID" queryTableFieldId="1"/>
    <tableColumn id="2" xr3:uid="{EC7E0BC8-F26E-49DD-BED2-6B0C54937147}" uniqueName="2" name="Sale_Date" queryTableFieldId="2" dataDxfId="10"/>
    <tableColumn id="3" xr3:uid="{E2A87850-3575-4D35-B86A-DCBAFB38C950}" uniqueName="3" name="Sales_Rep" queryTableFieldId="3" dataDxfId="9"/>
    <tableColumn id="4" xr3:uid="{6F930077-1970-44C7-832A-B8DDB55C42D8}" uniqueName="4" name="Region" queryTableFieldId="4" dataDxfId="8"/>
    <tableColumn id="6" xr3:uid="{97B64387-37CC-43A4-B4BD-665DD6AFA144}" uniqueName="6" name="Quantity_Sold" queryTableFieldId="6"/>
    <tableColumn id="7" xr3:uid="{0C9DBB37-3F4B-4FA8-BC6C-E30DFB8EC445}" uniqueName="7" name="Product_Category" queryTableFieldId="7" dataDxfId="7"/>
    <tableColumn id="8" xr3:uid="{BF86006E-99DC-44EB-A82C-43DD896694FD}" uniqueName="8" name="Unit_Cost" queryTableFieldId="8"/>
    <tableColumn id="9" xr3:uid="{C05F571B-C853-41AD-BD4D-42F55D421916}" uniqueName="9" name="Unit_Price" queryTableFieldId="9"/>
    <tableColumn id="10" xr3:uid="{E3A3C804-F4CF-47C1-82E3-F200F24E9129}" uniqueName="10" name="Customer_Type" queryTableFieldId="10" dataDxfId="6"/>
    <tableColumn id="11" xr3:uid="{06A3F91D-F5CB-4099-ABE5-1B9DB5D63A04}" uniqueName="11" name="Discount" queryTableFieldId="11"/>
    <tableColumn id="12" xr3:uid="{F8E4F819-86C1-4E68-BFFE-F80FF26BEBF8}" uniqueName="12" name="Payment_Method" queryTableFieldId="12" dataDxfId="5"/>
    <tableColumn id="13" xr3:uid="{536179EF-9D5E-4E7E-AE05-6BD778A665FB}" uniqueName="13" name="Sales_Channel" queryTableFieldId="13" dataDxfId="4"/>
    <tableColumn id="14" xr3:uid="{3AA87D01-2A60-48AB-8A4A-D47B85281094}" uniqueName="14" name="Region_and_Sales_Rep" queryTableFieldId="14" dataDxfId="3"/>
    <tableColumn id="16" xr3:uid="{FE5A81AE-E28E-4B0A-A714-867299752208}" uniqueName="16" name="Unit - cost" queryTableFieldId="16" dataDxfId="2">
      <calculatedColumnFormula>sales_data_1[[#This Row],[Unit_Price]]-sales_data_1[[#This Row],[Unit_Cost]]</calculatedColumnFormula>
    </tableColumn>
    <tableColumn id="15" xr3:uid="{7E9DF026-63C2-41EC-A7E7-770CE9E940DB}" uniqueName="15" name="Revenue " queryTableFieldId="18" dataDxfId="1">
      <calculatedColumnFormula>sales_data_1[[#This Row],[Unit_Price]]*sales_data_1[[#This Row],[Quantity_Sold]]</calculatedColumnFormula>
    </tableColumn>
    <tableColumn id="17" xr3:uid="{977699CE-604F-468E-93C4-E9BDE2A54FFB}" uniqueName="17" name="Profit" queryTableFieldId="17" dataDxfId="0">
      <calculatedColumnFormula>sales_data_1[[#This Row],[Unit - cost]]*sales_data_1[[#This Row],[Quantity_Sold]]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EEFBA-2286-4432-848A-87E93BB60EC4}">
  <dimension ref="A3:B16"/>
  <sheetViews>
    <sheetView topLeftCell="A2" zoomScale="99" workbookViewId="0">
      <selection activeCell="X11" sqref="X11"/>
    </sheetView>
  </sheetViews>
  <sheetFormatPr defaultRowHeight="14.4" x14ac:dyDescent="0.3"/>
  <cols>
    <col min="1" max="1" width="12.6640625" bestFit="1" customWidth="1"/>
    <col min="2" max="2" width="15.44140625" bestFit="1" customWidth="1"/>
  </cols>
  <sheetData>
    <row r="3" spans="1:2" x14ac:dyDescent="0.3">
      <c r="A3" s="3" t="s">
        <v>53</v>
      </c>
      <c r="B3" t="s">
        <v>64</v>
      </c>
    </row>
    <row r="4" spans="1:2" x14ac:dyDescent="0.3">
      <c r="A4" s="4" t="s">
        <v>69</v>
      </c>
      <c r="B4" s="6">
        <v>7427821.049999997</v>
      </c>
    </row>
    <row r="5" spans="1:2" x14ac:dyDescent="0.3">
      <c r="A5" s="4" t="s">
        <v>70</v>
      </c>
      <c r="B5" s="6">
        <v>5627477.4499999993</v>
      </c>
    </row>
    <row r="6" spans="1:2" x14ac:dyDescent="0.3">
      <c r="A6" s="4" t="s">
        <v>71</v>
      </c>
      <c r="B6" s="6">
        <v>6008259.4100000039</v>
      </c>
    </row>
    <row r="7" spans="1:2" x14ac:dyDescent="0.3">
      <c r="A7" s="4" t="s">
        <v>57</v>
      </c>
      <c r="B7" s="6">
        <v>5468497.620000002</v>
      </c>
    </row>
    <row r="8" spans="1:2" x14ac:dyDescent="0.3">
      <c r="A8" s="4" t="s">
        <v>68</v>
      </c>
      <c r="B8" s="6">
        <v>5800626.5099999979</v>
      </c>
    </row>
    <row r="9" spans="1:2" x14ac:dyDescent="0.3">
      <c r="A9" s="4" t="s">
        <v>72</v>
      </c>
      <c r="B9" s="6">
        <v>6142561.2300000004</v>
      </c>
    </row>
    <row r="10" spans="1:2" x14ac:dyDescent="0.3">
      <c r="A10" s="4" t="s">
        <v>73</v>
      </c>
      <c r="B10" s="6">
        <v>4751432.4200000009</v>
      </c>
    </row>
    <row r="11" spans="1:2" x14ac:dyDescent="0.3">
      <c r="A11" s="4" t="s">
        <v>67</v>
      </c>
      <c r="B11" s="6">
        <v>6716190.6099999985</v>
      </c>
    </row>
    <row r="12" spans="1:2" x14ac:dyDescent="0.3">
      <c r="A12" s="4" t="s">
        <v>74</v>
      </c>
      <c r="B12" s="6">
        <v>4557015.58</v>
      </c>
    </row>
    <row r="13" spans="1:2" x14ac:dyDescent="0.3">
      <c r="A13" s="4" t="s">
        <v>75</v>
      </c>
      <c r="B13" s="6">
        <v>6560606.3899999978</v>
      </c>
    </row>
    <row r="14" spans="1:2" x14ac:dyDescent="0.3">
      <c r="A14" s="4" t="s">
        <v>76</v>
      </c>
      <c r="B14" s="6">
        <v>4958930.1899999967</v>
      </c>
    </row>
    <row r="15" spans="1:2" x14ac:dyDescent="0.3">
      <c r="A15" s="4" t="s">
        <v>77</v>
      </c>
      <c r="B15" s="6">
        <v>6250242.79</v>
      </c>
    </row>
    <row r="16" spans="1:2" x14ac:dyDescent="0.3">
      <c r="A16" s="4" t="s">
        <v>54</v>
      </c>
      <c r="B16" s="6">
        <v>70269661.25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8AC60-F306-458A-809A-2919D7F1ACAF}">
  <dimension ref="A3:B8"/>
  <sheetViews>
    <sheetView workbookViewId="0">
      <selection activeCell="B12" sqref="B12"/>
    </sheetView>
  </sheetViews>
  <sheetFormatPr defaultRowHeight="14.4" x14ac:dyDescent="0.3"/>
  <cols>
    <col min="1" max="1" width="12.5546875" bestFit="1" customWidth="1"/>
    <col min="2" max="2" width="15.33203125" bestFit="1" customWidth="1"/>
  </cols>
  <sheetData>
    <row r="3" spans="1:2" x14ac:dyDescent="0.3">
      <c r="A3" s="3" t="s">
        <v>53</v>
      </c>
      <c r="B3" t="s">
        <v>64</v>
      </c>
    </row>
    <row r="4" spans="1:2" x14ac:dyDescent="0.3">
      <c r="A4" s="4" t="s">
        <v>20</v>
      </c>
      <c r="B4" s="6">
        <v>17720053.209999993</v>
      </c>
    </row>
    <row r="5" spans="1:2" x14ac:dyDescent="0.3">
      <c r="A5" s="4" t="s">
        <v>24</v>
      </c>
      <c r="B5" s="6">
        <v>16277030.200000016</v>
      </c>
    </row>
    <row r="6" spans="1:2" x14ac:dyDescent="0.3">
      <c r="A6" s="4" t="s">
        <v>14</v>
      </c>
      <c r="B6" s="6">
        <v>18208403.850000013</v>
      </c>
    </row>
    <row r="7" spans="1:2" x14ac:dyDescent="0.3">
      <c r="A7" s="4" t="s">
        <v>33</v>
      </c>
      <c r="B7" s="6">
        <v>18064173.990000006</v>
      </c>
    </row>
    <row r="8" spans="1:2" x14ac:dyDescent="0.3">
      <c r="A8" s="4" t="s">
        <v>54</v>
      </c>
      <c r="B8" s="6">
        <v>70269661.25000003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4E426-45BA-45FF-BB5A-F1597D8140AD}">
  <dimension ref="A3:B9"/>
  <sheetViews>
    <sheetView workbookViewId="0">
      <selection activeCell="B5" sqref="B5"/>
    </sheetView>
  </sheetViews>
  <sheetFormatPr defaultRowHeight="14.4" x14ac:dyDescent="0.3"/>
  <cols>
    <col min="1" max="1" width="12.5546875" bestFit="1" customWidth="1"/>
    <col min="2" max="3" width="15.33203125" bestFit="1" customWidth="1"/>
  </cols>
  <sheetData>
    <row r="3" spans="1:2" x14ac:dyDescent="0.3">
      <c r="A3" s="3" t="s">
        <v>53</v>
      </c>
      <c r="B3" t="s">
        <v>64</v>
      </c>
    </row>
    <row r="4" spans="1:2" x14ac:dyDescent="0.3">
      <c r="A4" s="4" t="s">
        <v>41</v>
      </c>
      <c r="B4" s="6">
        <v>13356214.649999999</v>
      </c>
    </row>
    <row r="5" spans="1:2" x14ac:dyDescent="0.3">
      <c r="A5" s="4" t="s">
        <v>13</v>
      </c>
      <c r="B5" s="6">
        <v>13707091.220000016</v>
      </c>
    </row>
    <row r="6" spans="1:2" x14ac:dyDescent="0.3">
      <c r="A6" s="4" t="s">
        <v>32</v>
      </c>
      <c r="B6" s="6">
        <v>11552249.049999993</v>
      </c>
    </row>
    <row r="7" spans="1:2" x14ac:dyDescent="0.3">
      <c r="A7" s="4" t="s">
        <v>23</v>
      </c>
      <c r="B7" s="6">
        <v>16382356.890000012</v>
      </c>
    </row>
    <row r="8" spans="1:2" x14ac:dyDescent="0.3">
      <c r="A8" s="4" t="s">
        <v>37</v>
      </c>
      <c r="B8" s="6">
        <v>15271749.440000003</v>
      </c>
    </row>
    <row r="9" spans="1:2" x14ac:dyDescent="0.3">
      <c r="A9" s="4" t="s">
        <v>54</v>
      </c>
      <c r="B9" s="6">
        <v>70269661.250000015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44251-855B-40D2-BC3A-A4A63CF1A9EE}">
  <dimension ref="B5:C10"/>
  <sheetViews>
    <sheetView workbookViewId="0">
      <selection activeCell="B5" sqref="B5"/>
    </sheetView>
  </sheetViews>
  <sheetFormatPr defaultRowHeight="14.4" x14ac:dyDescent="0.3"/>
  <cols>
    <col min="2" max="2" width="12.5546875" bestFit="1" customWidth="1"/>
    <col min="3" max="3" width="15.33203125" bestFit="1" customWidth="1"/>
  </cols>
  <sheetData>
    <row r="5" spans="2:3" x14ac:dyDescent="0.3">
      <c r="B5" s="3" t="s">
        <v>53</v>
      </c>
      <c r="C5" t="s">
        <v>64</v>
      </c>
    </row>
    <row r="6" spans="2:3" x14ac:dyDescent="0.3">
      <c r="B6" s="4" t="s">
        <v>28</v>
      </c>
      <c r="C6" s="6">
        <v>19281196.969999995</v>
      </c>
    </row>
    <row r="7" spans="2:3" x14ac:dyDescent="0.3">
      <c r="B7" s="4" t="s">
        <v>34</v>
      </c>
      <c r="C7" s="6">
        <v>17529525.130000006</v>
      </c>
    </row>
    <row r="8" spans="2:3" x14ac:dyDescent="0.3">
      <c r="B8" s="4" t="s">
        <v>25</v>
      </c>
      <c r="C8" s="6">
        <v>15128658.589999998</v>
      </c>
    </row>
    <row r="9" spans="2:3" x14ac:dyDescent="0.3">
      <c r="B9" s="4" t="s">
        <v>15</v>
      </c>
      <c r="C9" s="6">
        <v>18330280.560000006</v>
      </c>
    </row>
    <row r="10" spans="2:3" x14ac:dyDescent="0.3">
      <c r="B10" s="4" t="s">
        <v>54</v>
      </c>
      <c r="C10" s="6">
        <v>70269661.25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1FC53-15B0-4951-9A5F-E4C1AB4D4BDD}">
  <dimension ref="A3:B6"/>
  <sheetViews>
    <sheetView workbookViewId="0">
      <selection activeCell="A3" sqref="A3"/>
    </sheetView>
  </sheetViews>
  <sheetFormatPr defaultRowHeight="14.4" x14ac:dyDescent="0.3"/>
  <cols>
    <col min="1" max="1" width="12.5546875" bestFit="1" customWidth="1"/>
    <col min="2" max="2" width="15.33203125" bestFit="1" customWidth="1"/>
  </cols>
  <sheetData>
    <row r="3" spans="1:2" x14ac:dyDescent="0.3">
      <c r="A3" s="3" t="s">
        <v>53</v>
      </c>
      <c r="B3" t="s">
        <v>64</v>
      </c>
    </row>
    <row r="4" spans="1:2" x14ac:dyDescent="0.3">
      <c r="A4" s="4" t="s">
        <v>18</v>
      </c>
      <c r="B4" s="6">
        <v>35692654.800000027</v>
      </c>
    </row>
    <row r="5" spans="1:2" x14ac:dyDescent="0.3">
      <c r="A5" s="4" t="s">
        <v>21</v>
      </c>
      <c r="B5" s="6">
        <v>34577006.449999966</v>
      </c>
    </row>
    <row r="6" spans="1:2" x14ac:dyDescent="0.3">
      <c r="A6" s="4" t="s">
        <v>54</v>
      </c>
      <c r="B6" s="6">
        <v>70269661.25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60BB1-369C-4F40-B49A-5B8B54DE5829}">
  <dimension ref="A3:B9"/>
  <sheetViews>
    <sheetView workbookViewId="0">
      <selection activeCell="B9" sqref="B9"/>
    </sheetView>
  </sheetViews>
  <sheetFormatPr defaultRowHeight="14.4" x14ac:dyDescent="0.3"/>
  <cols>
    <col min="1" max="1" width="12.5546875" bestFit="1" customWidth="1"/>
    <col min="2" max="2" width="15.33203125" bestFit="1" customWidth="1"/>
  </cols>
  <sheetData>
    <row r="3" spans="1:2" x14ac:dyDescent="0.3">
      <c r="A3" s="3" t="s">
        <v>53</v>
      </c>
      <c r="B3" t="s">
        <v>64</v>
      </c>
    </row>
    <row r="4" spans="1:2" x14ac:dyDescent="0.3">
      <c r="A4" s="4" t="s">
        <v>26</v>
      </c>
      <c r="B4" s="6">
        <v>24547022.100000013</v>
      </c>
    </row>
    <row r="5" spans="1:2" x14ac:dyDescent="0.3">
      <c r="A5" s="4" t="s">
        <v>17</v>
      </c>
      <c r="B5" s="6">
        <v>22177284.430000018</v>
      </c>
    </row>
    <row r="6" spans="1:2" x14ac:dyDescent="0.3">
      <c r="A6" s="4" t="s">
        <v>30</v>
      </c>
      <c r="B6" s="6">
        <v>23545354.719999995</v>
      </c>
    </row>
    <row r="7" spans="1:2" x14ac:dyDescent="0.3">
      <c r="A7" s="4" t="s">
        <v>54</v>
      </c>
      <c r="B7" s="6">
        <v>70269661.25000003</v>
      </c>
    </row>
    <row r="8" spans="1:2" x14ac:dyDescent="0.3">
      <c r="B8" t="s">
        <v>62</v>
      </c>
    </row>
    <row r="9" spans="1:2" x14ac:dyDescent="0.3">
      <c r="B9">
        <f>GETPIVOTDATA("Revenue ",$A$3)</f>
        <v>70269661.25000003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7E327-BFAA-40F5-9107-877F27635878}">
  <dimension ref="A3:A6"/>
  <sheetViews>
    <sheetView workbookViewId="0">
      <selection activeCell="A4" sqref="A4"/>
    </sheetView>
  </sheetViews>
  <sheetFormatPr defaultRowHeight="14.4" x14ac:dyDescent="0.3"/>
  <cols>
    <col min="1" max="1" width="19.6640625" bestFit="1" customWidth="1"/>
  </cols>
  <sheetData>
    <row r="3" spans="1:1" x14ac:dyDescent="0.3">
      <c r="A3" t="s">
        <v>56</v>
      </c>
    </row>
    <row r="4" spans="1:1" x14ac:dyDescent="0.3">
      <c r="A4" s="6">
        <v>25278</v>
      </c>
    </row>
    <row r="6" spans="1:1" x14ac:dyDescent="0.3">
      <c r="A6">
        <f xml:space="preserve"> GETPIVOTDATA("Quantity_Sold",$A$3)</f>
        <v>25278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6082A-275A-400F-8D80-21AC0C0EA5B5}">
  <dimension ref="A5:C16"/>
  <sheetViews>
    <sheetView workbookViewId="0">
      <selection activeCell="C7" sqref="C7"/>
    </sheetView>
  </sheetViews>
  <sheetFormatPr defaultRowHeight="14.4" x14ac:dyDescent="0.3"/>
  <cols>
    <col min="1" max="1" width="15.33203125" bestFit="1" customWidth="1"/>
    <col min="3" max="3" width="17.88671875" bestFit="1" customWidth="1"/>
    <col min="11" max="11" width="15.33203125" bestFit="1" customWidth="1"/>
  </cols>
  <sheetData>
    <row r="5" spans="1:3" x14ac:dyDescent="0.3">
      <c r="A5" t="s">
        <v>64</v>
      </c>
    </row>
    <row r="6" spans="1:3" x14ac:dyDescent="0.3">
      <c r="A6" s="6">
        <v>70269661.249999955</v>
      </c>
    </row>
    <row r="7" spans="1:3" x14ac:dyDescent="0.3">
      <c r="C7" s="5">
        <f>A16/A9</f>
        <v>9.2006777106812931E-2</v>
      </c>
    </row>
    <row r="8" spans="1:3" x14ac:dyDescent="0.3">
      <c r="A8" s="5" t="s">
        <v>58</v>
      </c>
    </row>
    <row r="9" spans="1:3" x14ac:dyDescent="0.3">
      <c r="A9">
        <f>GETPIVOTDATA("Revenue ",$A$5)</f>
        <v>70269661.249999955</v>
      </c>
    </row>
    <row r="12" spans="1:3" x14ac:dyDescent="0.3">
      <c r="A12" t="s">
        <v>65</v>
      </c>
    </row>
    <row r="13" spans="1:3" x14ac:dyDescent="0.3">
      <c r="A13" s="6">
        <v>6465285.0599999959</v>
      </c>
    </row>
    <row r="15" spans="1:3" x14ac:dyDescent="0.3">
      <c r="A15" t="s">
        <v>59</v>
      </c>
    </row>
    <row r="16" spans="1:3" x14ac:dyDescent="0.3">
      <c r="A16">
        <f>GETPIVOTDATA("Profit",$A$12)</f>
        <v>6465285.0599999959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E2AA-5EC6-4BD7-86F4-F62CFC833492}">
  <dimension ref="A1:R998"/>
  <sheetViews>
    <sheetView topLeftCell="D1" workbookViewId="0">
      <selection activeCell="U15" sqref="U15"/>
    </sheetView>
  </sheetViews>
  <sheetFormatPr defaultRowHeight="14.4" x14ac:dyDescent="0.3"/>
  <cols>
    <col min="1" max="1" width="12.6640625" bestFit="1" customWidth="1"/>
    <col min="2" max="2" width="11.5546875" bestFit="1" customWidth="1"/>
    <col min="3" max="3" width="11.6640625" bestFit="1" customWidth="1"/>
    <col min="4" max="4" width="9" bestFit="1" customWidth="1"/>
    <col min="5" max="5" width="15.33203125" bestFit="1" customWidth="1"/>
    <col min="6" max="6" width="18.5546875" bestFit="1" customWidth="1"/>
    <col min="7" max="7" width="11.44140625" bestFit="1" customWidth="1"/>
    <col min="8" max="8" width="11.88671875" bestFit="1" customWidth="1"/>
    <col min="9" max="9" width="16.5546875" bestFit="1" customWidth="1"/>
    <col min="10" max="10" width="10.5546875" bestFit="1" customWidth="1"/>
    <col min="11" max="11" width="18.6640625" bestFit="1" customWidth="1"/>
    <col min="12" max="12" width="15.44140625" bestFit="1" customWidth="1"/>
    <col min="13" max="13" width="22.88671875" bestFit="1" customWidth="1"/>
    <col min="14" max="14" width="11.77734375" bestFit="1" customWidth="1"/>
    <col min="15" max="15" width="11" bestFit="1" customWidth="1"/>
    <col min="16" max="16" width="9" bestFit="1" customWidth="1"/>
    <col min="17" max="17" width="11" bestFit="1" customWidth="1"/>
    <col min="18" max="18" width="14.109375" bestFit="1" customWidth="1"/>
    <col min="19" max="19" width="11" bestFit="1" customWidth="1"/>
    <col min="21" max="21" width="11" bestFit="1" customWidth="1"/>
  </cols>
  <sheetData>
    <row r="1" spans="1:18" x14ac:dyDescent="0.3">
      <c r="A1" t="s">
        <v>0</v>
      </c>
      <c r="B1" t="s">
        <v>1</v>
      </c>
      <c r="C1" t="s">
        <v>2</v>
      </c>
      <c r="D1" t="s">
        <v>3</v>
      </c>
      <c r="E1" t="s">
        <v>4</v>
      </c>
      <c r="F1" t="s">
        <v>5</v>
      </c>
      <c r="G1" t="s">
        <v>6</v>
      </c>
      <c r="H1" t="s">
        <v>7</v>
      </c>
      <c r="I1" t="s">
        <v>8</v>
      </c>
      <c r="J1" t="s">
        <v>9</v>
      </c>
      <c r="K1" t="s">
        <v>10</v>
      </c>
      <c r="L1" t="s">
        <v>11</v>
      </c>
      <c r="M1" t="s">
        <v>12</v>
      </c>
      <c r="N1" t="s">
        <v>55</v>
      </c>
      <c r="O1" t="s">
        <v>61</v>
      </c>
      <c r="P1" t="s">
        <v>60</v>
      </c>
    </row>
    <row r="2" spans="1:18" x14ac:dyDescent="0.3">
      <c r="A2">
        <v>1052</v>
      </c>
      <c r="B2" s="1">
        <v>44960</v>
      </c>
      <c r="C2" t="s">
        <v>13</v>
      </c>
      <c r="D2" t="s">
        <v>14</v>
      </c>
      <c r="E2">
        <v>18</v>
      </c>
      <c r="F2" t="s">
        <v>15</v>
      </c>
      <c r="G2">
        <v>152.75</v>
      </c>
      <c r="H2">
        <v>267.22000000000003</v>
      </c>
      <c r="I2" t="s">
        <v>16</v>
      </c>
      <c r="J2">
        <v>0.09</v>
      </c>
      <c r="K2" t="s">
        <v>17</v>
      </c>
      <c r="L2" t="s">
        <v>18</v>
      </c>
      <c r="M2" t="s">
        <v>19</v>
      </c>
      <c r="N2">
        <f>sales_data_1[[#This Row],[Unit_Price]]-sales_data_1[[#This Row],[Unit_Cost]]</f>
        <v>114.47000000000003</v>
      </c>
      <c r="O2">
        <f>sales_data_1[[#This Row],[Unit_Price]]*sales_data_1[[#This Row],[Quantity_Sold]]</f>
        <v>4809.9600000000009</v>
      </c>
      <c r="P2">
        <f>sales_data_1[[#This Row],[Unit - cost]]*sales_data_1[[#This Row],[Quantity_Sold]]</f>
        <v>2060.4600000000005</v>
      </c>
    </row>
    <row r="3" spans="1:18" x14ac:dyDescent="0.3">
      <c r="A3">
        <v>1093</v>
      </c>
      <c r="B3" s="1">
        <v>45037</v>
      </c>
      <c r="C3" t="s">
        <v>13</v>
      </c>
      <c r="D3" t="s">
        <v>20</v>
      </c>
      <c r="E3">
        <v>17</v>
      </c>
      <c r="F3" t="s">
        <v>15</v>
      </c>
      <c r="G3">
        <v>3816.39</v>
      </c>
      <c r="H3">
        <v>4209.4399999999996</v>
      </c>
      <c r="I3" t="s">
        <v>16</v>
      </c>
      <c r="J3">
        <v>0.11</v>
      </c>
      <c r="K3" t="s">
        <v>17</v>
      </c>
      <c r="L3" t="s">
        <v>21</v>
      </c>
      <c r="M3" t="s">
        <v>22</v>
      </c>
      <c r="N3">
        <f>sales_data_1[[#This Row],[Unit_Price]]-sales_data_1[[#This Row],[Unit_Cost]]</f>
        <v>393.04999999999973</v>
      </c>
      <c r="O3">
        <f>sales_data_1[[#This Row],[Unit_Price]]*sales_data_1[[#This Row],[Quantity_Sold]]</f>
        <v>71560.479999999996</v>
      </c>
      <c r="P3">
        <f>sales_data_1[[#This Row],[Unit - cost]]*sales_data_1[[#This Row],[Quantity_Sold]]</f>
        <v>6681.8499999999949</v>
      </c>
    </row>
    <row r="4" spans="1:18" x14ac:dyDescent="0.3">
      <c r="A4">
        <v>1015</v>
      </c>
      <c r="B4" s="1">
        <v>45190</v>
      </c>
      <c r="C4" t="s">
        <v>23</v>
      </c>
      <c r="D4" t="s">
        <v>24</v>
      </c>
      <c r="E4">
        <v>30</v>
      </c>
      <c r="F4" t="s">
        <v>25</v>
      </c>
      <c r="G4">
        <v>261.56</v>
      </c>
      <c r="H4">
        <v>371.4</v>
      </c>
      <c r="I4" t="s">
        <v>16</v>
      </c>
      <c r="J4">
        <v>0.2</v>
      </c>
      <c r="K4" t="s">
        <v>26</v>
      </c>
      <c r="L4" t="s">
        <v>21</v>
      </c>
      <c r="M4" t="s">
        <v>27</v>
      </c>
      <c r="N4">
        <f>sales_data_1[[#This Row],[Unit_Price]]-sales_data_1[[#This Row],[Unit_Cost]]</f>
        <v>109.83999999999997</v>
      </c>
      <c r="O4">
        <f>sales_data_1[[#This Row],[Unit_Price]]*sales_data_1[[#This Row],[Quantity_Sold]]</f>
        <v>11142</v>
      </c>
      <c r="P4">
        <f>sales_data_1[[#This Row],[Unit - cost]]*sales_data_1[[#This Row],[Quantity_Sold]]</f>
        <v>3295.1999999999994</v>
      </c>
    </row>
    <row r="5" spans="1:18" x14ac:dyDescent="0.3">
      <c r="A5">
        <v>1072</v>
      </c>
      <c r="B5" s="1">
        <v>45162</v>
      </c>
      <c r="C5" t="s">
        <v>13</v>
      </c>
      <c r="D5" t="s">
        <v>24</v>
      </c>
      <c r="E5">
        <v>39</v>
      </c>
      <c r="F5" t="s">
        <v>28</v>
      </c>
      <c r="G5">
        <v>4330.03</v>
      </c>
      <c r="H5">
        <v>4467.75</v>
      </c>
      <c r="I5" t="s">
        <v>29</v>
      </c>
      <c r="J5">
        <v>0.02</v>
      </c>
      <c r="K5" t="s">
        <v>30</v>
      </c>
      <c r="L5" t="s">
        <v>21</v>
      </c>
      <c r="M5" t="s">
        <v>31</v>
      </c>
      <c r="N5">
        <f>sales_data_1[[#This Row],[Unit_Price]]-sales_data_1[[#This Row],[Unit_Cost]]</f>
        <v>137.72000000000025</v>
      </c>
      <c r="O5">
        <f>sales_data_1[[#This Row],[Unit_Price]]*sales_data_1[[#This Row],[Quantity_Sold]]</f>
        <v>174242.25</v>
      </c>
      <c r="P5">
        <f>sales_data_1[[#This Row],[Unit - cost]]*sales_data_1[[#This Row],[Quantity_Sold]]</f>
        <v>5371.0800000000099</v>
      </c>
      <c r="R5" t="s">
        <v>62</v>
      </c>
    </row>
    <row r="6" spans="1:18" x14ac:dyDescent="0.3">
      <c r="A6">
        <v>1061</v>
      </c>
      <c r="B6" s="1">
        <v>45009</v>
      </c>
      <c r="C6" t="s">
        <v>32</v>
      </c>
      <c r="D6" t="s">
        <v>33</v>
      </c>
      <c r="E6">
        <v>13</v>
      </c>
      <c r="F6" t="s">
        <v>34</v>
      </c>
      <c r="G6">
        <v>637.37</v>
      </c>
      <c r="H6">
        <v>692.71</v>
      </c>
      <c r="I6" t="s">
        <v>29</v>
      </c>
      <c r="J6">
        <v>0.08</v>
      </c>
      <c r="K6" t="s">
        <v>30</v>
      </c>
      <c r="L6" t="s">
        <v>18</v>
      </c>
      <c r="M6" t="s">
        <v>35</v>
      </c>
      <c r="N6">
        <f>sales_data_1[[#This Row],[Unit_Price]]-sales_data_1[[#This Row],[Unit_Cost]]</f>
        <v>55.340000000000032</v>
      </c>
      <c r="O6">
        <f>sales_data_1[[#This Row],[Unit_Price]]*sales_data_1[[#This Row],[Quantity_Sold]]</f>
        <v>9005.23</v>
      </c>
      <c r="P6">
        <f>sales_data_1[[#This Row],[Unit - cost]]*sales_data_1[[#This Row],[Quantity_Sold]]</f>
        <v>719.42000000000041</v>
      </c>
      <c r="R6">
        <f>SUM(sales_data_1[[Revenue ]])</f>
        <v>70269661.249999955</v>
      </c>
    </row>
    <row r="7" spans="1:18" x14ac:dyDescent="0.3">
      <c r="A7">
        <v>1021</v>
      </c>
      <c r="B7" s="1">
        <v>44968</v>
      </c>
      <c r="C7" t="s">
        <v>32</v>
      </c>
      <c r="D7" t="s">
        <v>20</v>
      </c>
      <c r="E7">
        <v>32</v>
      </c>
      <c r="F7" t="s">
        <v>25</v>
      </c>
      <c r="G7">
        <v>900.79</v>
      </c>
      <c r="H7">
        <v>1106.51</v>
      </c>
      <c r="I7" t="s">
        <v>29</v>
      </c>
      <c r="J7">
        <v>0.21</v>
      </c>
      <c r="K7" t="s">
        <v>17</v>
      </c>
      <c r="L7" t="s">
        <v>18</v>
      </c>
      <c r="M7" t="s">
        <v>36</v>
      </c>
      <c r="N7">
        <f>sales_data_1[[#This Row],[Unit_Price]]-sales_data_1[[#This Row],[Unit_Cost]]</f>
        <v>205.72000000000003</v>
      </c>
      <c r="O7">
        <f>sales_data_1[[#This Row],[Unit_Price]]*sales_data_1[[#This Row],[Quantity_Sold]]</f>
        <v>35408.32</v>
      </c>
      <c r="P7">
        <f>sales_data_1[[#This Row],[Unit - cost]]*sales_data_1[[#This Row],[Quantity_Sold]]</f>
        <v>6583.0400000000009</v>
      </c>
    </row>
    <row r="8" spans="1:18" x14ac:dyDescent="0.3">
      <c r="A8">
        <v>1083</v>
      </c>
      <c r="B8" s="1">
        <v>45027</v>
      </c>
      <c r="C8" t="s">
        <v>13</v>
      </c>
      <c r="D8" t="s">
        <v>20</v>
      </c>
      <c r="E8">
        <v>29</v>
      </c>
      <c r="F8" t="s">
        <v>15</v>
      </c>
      <c r="G8">
        <v>2408.81</v>
      </c>
      <c r="H8">
        <v>2624.09</v>
      </c>
      <c r="I8" t="s">
        <v>16</v>
      </c>
      <c r="J8">
        <v>0.14000000000000001</v>
      </c>
      <c r="K8" t="s">
        <v>17</v>
      </c>
      <c r="L8" t="s">
        <v>18</v>
      </c>
      <c r="M8" t="s">
        <v>22</v>
      </c>
      <c r="N8">
        <f>sales_data_1[[#This Row],[Unit_Price]]-sales_data_1[[#This Row],[Unit_Cost]]</f>
        <v>215.2800000000002</v>
      </c>
      <c r="O8">
        <f>sales_data_1[[#This Row],[Unit_Price]]*sales_data_1[[#This Row],[Quantity_Sold]]</f>
        <v>76098.61</v>
      </c>
      <c r="P8">
        <f>sales_data_1[[#This Row],[Unit - cost]]*sales_data_1[[#This Row],[Quantity_Sold]]</f>
        <v>6243.1200000000063</v>
      </c>
      <c r="R8" t="s">
        <v>59</v>
      </c>
    </row>
    <row r="9" spans="1:18" x14ac:dyDescent="0.3">
      <c r="A9">
        <v>1087</v>
      </c>
      <c r="B9" s="1">
        <v>44932</v>
      </c>
      <c r="C9" t="s">
        <v>37</v>
      </c>
      <c r="D9" t="s">
        <v>24</v>
      </c>
      <c r="E9">
        <v>46</v>
      </c>
      <c r="F9" t="s">
        <v>15</v>
      </c>
      <c r="G9">
        <v>3702.51</v>
      </c>
      <c r="H9">
        <v>3964.65</v>
      </c>
      <c r="I9" t="s">
        <v>29</v>
      </c>
      <c r="J9">
        <v>0.12</v>
      </c>
      <c r="K9" t="s">
        <v>26</v>
      </c>
      <c r="L9" t="s">
        <v>18</v>
      </c>
      <c r="M9" t="s">
        <v>38</v>
      </c>
      <c r="N9">
        <f>sales_data_1[[#This Row],[Unit_Price]]-sales_data_1[[#This Row],[Unit_Cost]]</f>
        <v>262.13999999999987</v>
      </c>
      <c r="O9">
        <f>sales_data_1[[#This Row],[Unit_Price]]*sales_data_1[[#This Row],[Quantity_Sold]]</f>
        <v>182373.9</v>
      </c>
      <c r="P9">
        <f>sales_data_1[[#This Row],[Unit - cost]]*sales_data_1[[#This Row],[Quantity_Sold]]</f>
        <v>12058.439999999995</v>
      </c>
      <c r="R9">
        <f>SUM(sales_data_1[Profit])</f>
        <v>6465285.0599999959</v>
      </c>
    </row>
    <row r="10" spans="1:18" x14ac:dyDescent="0.3">
      <c r="A10">
        <v>1075</v>
      </c>
      <c r="B10" s="1">
        <v>45106</v>
      </c>
      <c r="C10" t="s">
        <v>23</v>
      </c>
      <c r="D10" t="s">
        <v>24</v>
      </c>
      <c r="E10">
        <v>30</v>
      </c>
      <c r="F10" t="s">
        <v>15</v>
      </c>
      <c r="G10">
        <v>738.06</v>
      </c>
      <c r="H10">
        <v>1095.4499999999998</v>
      </c>
      <c r="I10" t="s">
        <v>29</v>
      </c>
      <c r="J10">
        <v>0.05</v>
      </c>
      <c r="K10" t="s">
        <v>26</v>
      </c>
      <c r="L10" t="s">
        <v>18</v>
      </c>
      <c r="M10" t="s">
        <v>27</v>
      </c>
      <c r="N10">
        <f>sales_data_1[[#This Row],[Unit_Price]]-sales_data_1[[#This Row],[Unit_Cost]]</f>
        <v>357.38999999999987</v>
      </c>
      <c r="O10">
        <f>sales_data_1[[#This Row],[Unit_Price]]*sales_data_1[[#This Row],[Quantity_Sold]]</f>
        <v>32863.499999999993</v>
      </c>
      <c r="P10">
        <f>sales_data_1[[#This Row],[Unit - cost]]*sales_data_1[[#This Row],[Quantity_Sold]]</f>
        <v>10721.699999999997</v>
      </c>
    </row>
    <row r="11" spans="1:18" x14ac:dyDescent="0.3">
      <c r="A11">
        <v>1075</v>
      </c>
      <c r="B11" s="1">
        <v>45208</v>
      </c>
      <c r="C11" t="s">
        <v>32</v>
      </c>
      <c r="D11" t="s">
        <v>20</v>
      </c>
      <c r="E11">
        <v>18</v>
      </c>
      <c r="F11" t="s">
        <v>28</v>
      </c>
      <c r="G11">
        <v>2228.35</v>
      </c>
      <c r="H11">
        <v>2682.34</v>
      </c>
      <c r="I11" t="s">
        <v>29</v>
      </c>
      <c r="J11">
        <v>0.13</v>
      </c>
      <c r="K11" t="s">
        <v>26</v>
      </c>
      <c r="L11" t="s">
        <v>18</v>
      </c>
      <c r="M11" t="s">
        <v>36</v>
      </c>
      <c r="N11">
        <f>sales_data_1[[#This Row],[Unit_Price]]-sales_data_1[[#This Row],[Unit_Cost]]</f>
        <v>453.99000000000024</v>
      </c>
      <c r="O11">
        <f>sales_data_1[[#This Row],[Unit_Price]]*sales_data_1[[#This Row],[Quantity_Sold]]</f>
        <v>48282.12</v>
      </c>
      <c r="P11">
        <f>sales_data_1[[#This Row],[Unit - cost]]*sales_data_1[[#This Row],[Quantity_Sold]]</f>
        <v>8171.8200000000043</v>
      </c>
      <c r="R11" t="s">
        <v>63</v>
      </c>
    </row>
    <row r="12" spans="1:18" x14ac:dyDescent="0.3">
      <c r="A12">
        <v>1088</v>
      </c>
      <c r="B12" s="1">
        <v>45246</v>
      </c>
      <c r="C12" t="s">
        <v>37</v>
      </c>
      <c r="D12" t="s">
        <v>14</v>
      </c>
      <c r="E12">
        <v>13</v>
      </c>
      <c r="F12" t="s">
        <v>15</v>
      </c>
      <c r="G12">
        <v>2440.11</v>
      </c>
      <c r="H12">
        <v>2517.6</v>
      </c>
      <c r="I12" t="s">
        <v>29</v>
      </c>
      <c r="J12">
        <v>0.23</v>
      </c>
      <c r="K12" t="s">
        <v>26</v>
      </c>
      <c r="L12" t="s">
        <v>21</v>
      </c>
      <c r="M12" t="s">
        <v>39</v>
      </c>
      <c r="N12">
        <f>sales_data_1[[#This Row],[Unit_Price]]-sales_data_1[[#This Row],[Unit_Cost]]</f>
        <v>77.489999999999782</v>
      </c>
      <c r="O12">
        <f>sales_data_1[[#This Row],[Unit_Price]]*sales_data_1[[#This Row],[Quantity_Sold]]</f>
        <v>32728.799999999999</v>
      </c>
      <c r="P12">
        <f>sales_data_1[[#This Row],[Unit - cost]]*sales_data_1[[#This Row],[Quantity_Sold]]</f>
        <v>1007.3699999999972</v>
      </c>
      <c r="R12" s="5">
        <f>R9/R6</f>
        <v>9.2006777106812931E-2</v>
      </c>
    </row>
    <row r="13" spans="1:18" x14ac:dyDescent="0.3">
      <c r="A13">
        <v>1100</v>
      </c>
      <c r="B13" s="1">
        <v>45152</v>
      </c>
      <c r="C13" t="s">
        <v>13</v>
      </c>
      <c r="D13" t="s">
        <v>20</v>
      </c>
      <c r="E13">
        <v>43</v>
      </c>
      <c r="F13" t="s">
        <v>25</v>
      </c>
      <c r="G13">
        <v>1100.81</v>
      </c>
      <c r="H13">
        <v>1137.44</v>
      </c>
      <c r="I13" t="s">
        <v>16</v>
      </c>
      <c r="J13">
        <v>0.08</v>
      </c>
      <c r="K13" t="s">
        <v>26</v>
      </c>
      <c r="L13" t="s">
        <v>18</v>
      </c>
      <c r="M13" t="s">
        <v>22</v>
      </c>
      <c r="N13">
        <f>sales_data_1[[#This Row],[Unit_Price]]-sales_data_1[[#This Row],[Unit_Cost]]</f>
        <v>36.630000000000109</v>
      </c>
      <c r="O13">
        <f>sales_data_1[[#This Row],[Unit_Price]]*sales_data_1[[#This Row],[Quantity_Sold]]</f>
        <v>48909.920000000006</v>
      </c>
      <c r="P13">
        <f>sales_data_1[[#This Row],[Unit - cost]]*sales_data_1[[#This Row],[Quantity_Sold]]</f>
        <v>1575.0900000000047</v>
      </c>
    </row>
    <row r="14" spans="1:18" x14ac:dyDescent="0.3">
      <c r="A14">
        <v>1024</v>
      </c>
      <c r="B14" s="1">
        <v>45241</v>
      </c>
      <c r="C14" t="s">
        <v>37</v>
      </c>
      <c r="D14" t="s">
        <v>20</v>
      </c>
      <c r="E14">
        <v>21</v>
      </c>
      <c r="F14" t="s">
        <v>25</v>
      </c>
      <c r="G14">
        <v>622.01</v>
      </c>
      <c r="H14">
        <v>641.09</v>
      </c>
      <c r="I14" t="s">
        <v>16</v>
      </c>
      <c r="J14">
        <v>0</v>
      </c>
      <c r="K14" t="s">
        <v>26</v>
      </c>
      <c r="L14" t="s">
        <v>21</v>
      </c>
      <c r="M14" t="s">
        <v>40</v>
      </c>
      <c r="N14">
        <f>sales_data_1[[#This Row],[Unit_Price]]-sales_data_1[[#This Row],[Unit_Cost]]</f>
        <v>19.080000000000041</v>
      </c>
      <c r="O14">
        <f>sales_data_1[[#This Row],[Unit_Price]]*sales_data_1[[#This Row],[Quantity_Sold]]</f>
        <v>13462.890000000001</v>
      </c>
      <c r="P14">
        <f>sales_data_1[[#This Row],[Unit - cost]]*sales_data_1[[#This Row],[Quantity_Sold]]</f>
        <v>400.68000000000086</v>
      </c>
    </row>
    <row r="15" spans="1:18" x14ac:dyDescent="0.3">
      <c r="A15">
        <v>1003</v>
      </c>
      <c r="B15" s="1">
        <v>45291</v>
      </c>
      <c r="C15" t="s">
        <v>41</v>
      </c>
      <c r="D15" t="s">
        <v>24</v>
      </c>
      <c r="E15">
        <v>30</v>
      </c>
      <c r="F15" t="s">
        <v>15</v>
      </c>
      <c r="G15">
        <v>4190.28</v>
      </c>
      <c r="H15">
        <v>4270.6499999999996</v>
      </c>
      <c r="I15" t="s">
        <v>29</v>
      </c>
      <c r="J15">
        <v>0.2</v>
      </c>
      <c r="K15" t="s">
        <v>17</v>
      </c>
      <c r="L15" t="s">
        <v>18</v>
      </c>
      <c r="M15" t="s">
        <v>42</v>
      </c>
      <c r="N15">
        <f>sales_data_1[[#This Row],[Unit_Price]]-sales_data_1[[#This Row],[Unit_Cost]]</f>
        <v>80.369999999999891</v>
      </c>
      <c r="O15">
        <f>sales_data_1[[#This Row],[Unit_Price]]*sales_data_1[[#This Row],[Quantity_Sold]]</f>
        <v>128119.49999999999</v>
      </c>
      <c r="P15">
        <f>sales_data_1[[#This Row],[Unit - cost]]*sales_data_1[[#This Row],[Quantity_Sold]]</f>
        <v>2411.0999999999967</v>
      </c>
    </row>
    <row r="16" spans="1:18" x14ac:dyDescent="0.3">
      <c r="A16">
        <v>1022</v>
      </c>
      <c r="B16" s="1">
        <v>45155</v>
      </c>
      <c r="C16" t="s">
        <v>32</v>
      </c>
      <c r="D16" t="s">
        <v>24</v>
      </c>
      <c r="E16">
        <v>21</v>
      </c>
      <c r="F16" t="s">
        <v>25</v>
      </c>
      <c r="G16">
        <v>2537.1999999999998</v>
      </c>
      <c r="H16">
        <v>2869.6</v>
      </c>
      <c r="I16" t="s">
        <v>29</v>
      </c>
      <c r="J16">
        <v>0.28999999999999998</v>
      </c>
      <c r="K16" t="s">
        <v>26</v>
      </c>
      <c r="L16" t="s">
        <v>21</v>
      </c>
      <c r="M16" t="s">
        <v>43</v>
      </c>
      <c r="N16">
        <f>sales_data_1[[#This Row],[Unit_Price]]-sales_data_1[[#This Row],[Unit_Cost]]</f>
        <v>332.40000000000009</v>
      </c>
      <c r="O16">
        <f>sales_data_1[[#This Row],[Unit_Price]]*sales_data_1[[#This Row],[Quantity_Sold]]</f>
        <v>60261.599999999999</v>
      </c>
      <c r="P16">
        <f>sales_data_1[[#This Row],[Unit - cost]]*sales_data_1[[#This Row],[Quantity_Sold]]</f>
        <v>6980.4000000000015</v>
      </c>
      <c r="R16" t="s">
        <v>66</v>
      </c>
    </row>
    <row r="17" spans="1:18" x14ac:dyDescent="0.3">
      <c r="A17">
        <v>1053</v>
      </c>
      <c r="B17" s="1">
        <v>45215</v>
      </c>
      <c r="C17" t="s">
        <v>13</v>
      </c>
      <c r="D17" t="s">
        <v>14</v>
      </c>
      <c r="E17">
        <v>48</v>
      </c>
      <c r="F17" t="s">
        <v>15</v>
      </c>
      <c r="G17">
        <v>121.19</v>
      </c>
      <c r="H17">
        <v>487.65</v>
      </c>
      <c r="I17" t="s">
        <v>29</v>
      </c>
      <c r="J17">
        <v>0.18</v>
      </c>
      <c r="K17" t="s">
        <v>17</v>
      </c>
      <c r="L17" t="s">
        <v>21</v>
      </c>
      <c r="M17" t="s">
        <v>19</v>
      </c>
      <c r="N17">
        <f>sales_data_1[[#This Row],[Unit_Price]]-sales_data_1[[#This Row],[Unit_Cost]]</f>
        <v>366.46</v>
      </c>
      <c r="O17">
        <f>sales_data_1[[#This Row],[Unit_Price]]*sales_data_1[[#This Row],[Quantity_Sold]]</f>
        <v>23407.199999999997</v>
      </c>
      <c r="P17">
        <f>sales_data_1[[#This Row],[Unit - cost]]*sales_data_1[[#This Row],[Quantity_Sold]]</f>
        <v>17590.079999999998</v>
      </c>
      <c r="R17">
        <f>SUM(sales_data_1[Quantity_Sold])</f>
        <v>25278</v>
      </c>
    </row>
    <row r="18" spans="1:18" x14ac:dyDescent="0.3">
      <c r="A18">
        <v>1002</v>
      </c>
      <c r="B18" s="1">
        <v>45076</v>
      </c>
      <c r="C18" t="s">
        <v>23</v>
      </c>
      <c r="D18" t="s">
        <v>14</v>
      </c>
      <c r="E18">
        <v>17</v>
      </c>
      <c r="F18" t="s">
        <v>15</v>
      </c>
      <c r="G18">
        <v>4024.76</v>
      </c>
      <c r="H18">
        <v>4420.1500000000015</v>
      </c>
      <c r="I18" t="s">
        <v>16</v>
      </c>
      <c r="J18">
        <v>0.04</v>
      </c>
      <c r="K18" t="s">
        <v>17</v>
      </c>
      <c r="L18" t="s">
        <v>18</v>
      </c>
      <c r="M18" t="s">
        <v>44</v>
      </c>
      <c r="N18">
        <f>sales_data_1[[#This Row],[Unit_Price]]-sales_data_1[[#This Row],[Unit_Cost]]</f>
        <v>395.39000000000124</v>
      </c>
      <c r="O18">
        <f>sales_data_1[[#This Row],[Unit_Price]]*sales_data_1[[#This Row],[Quantity_Sold]]</f>
        <v>75142.550000000017</v>
      </c>
      <c r="P18">
        <f>sales_data_1[[#This Row],[Unit - cost]]*sales_data_1[[#This Row],[Quantity_Sold]]</f>
        <v>6721.630000000021</v>
      </c>
    </row>
    <row r="19" spans="1:18" x14ac:dyDescent="0.3">
      <c r="A19">
        <v>1088</v>
      </c>
      <c r="B19" s="1">
        <v>45203</v>
      </c>
      <c r="C19" t="s">
        <v>13</v>
      </c>
      <c r="D19" t="s">
        <v>33</v>
      </c>
      <c r="E19">
        <v>40</v>
      </c>
      <c r="F19" t="s">
        <v>34</v>
      </c>
      <c r="G19">
        <v>4904.93</v>
      </c>
      <c r="H19">
        <v>5034.3500000000004</v>
      </c>
      <c r="I19" t="s">
        <v>29</v>
      </c>
      <c r="J19">
        <v>0.1</v>
      </c>
      <c r="K19" t="s">
        <v>30</v>
      </c>
      <c r="L19" t="s">
        <v>21</v>
      </c>
      <c r="M19" t="s">
        <v>45</v>
      </c>
      <c r="N19">
        <f>sales_data_1[[#This Row],[Unit_Price]]-sales_data_1[[#This Row],[Unit_Cost]]</f>
        <v>129.42000000000007</v>
      </c>
      <c r="O19">
        <f>sales_data_1[[#This Row],[Unit_Price]]*sales_data_1[[#This Row],[Quantity_Sold]]</f>
        <v>201374</v>
      </c>
      <c r="P19">
        <f>sales_data_1[[#This Row],[Unit - cost]]*sales_data_1[[#This Row],[Quantity_Sold]]</f>
        <v>5176.8000000000029</v>
      </c>
    </row>
    <row r="20" spans="1:18" x14ac:dyDescent="0.3">
      <c r="A20">
        <v>1030</v>
      </c>
      <c r="B20" s="1">
        <v>45124</v>
      </c>
      <c r="C20" t="s">
        <v>23</v>
      </c>
      <c r="D20" t="s">
        <v>20</v>
      </c>
      <c r="E20">
        <v>19</v>
      </c>
      <c r="F20" t="s">
        <v>28</v>
      </c>
      <c r="G20">
        <v>3049.33</v>
      </c>
      <c r="H20">
        <v>3209.22</v>
      </c>
      <c r="I20" t="s">
        <v>16</v>
      </c>
      <c r="J20">
        <v>0.26</v>
      </c>
      <c r="K20" t="s">
        <v>17</v>
      </c>
      <c r="L20" t="s">
        <v>18</v>
      </c>
      <c r="M20" t="s">
        <v>46</v>
      </c>
      <c r="N20">
        <f>sales_data_1[[#This Row],[Unit_Price]]-sales_data_1[[#This Row],[Unit_Cost]]</f>
        <v>159.88999999999987</v>
      </c>
      <c r="O20">
        <f>sales_data_1[[#This Row],[Unit_Price]]*sales_data_1[[#This Row],[Quantity_Sold]]</f>
        <v>60975.179999999993</v>
      </c>
      <c r="P20">
        <f>sales_data_1[[#This Row],[Unit - cost]]*sales_data_1[[#This Row],[Quantity_Sold]]</f>
        <v>3037.9099999999976</v>
      </c>
    </row>
    <row r="21" spans="1:18" x14ac:dyDescent="0.3">
      <c r="A21">
        <v>1038</v>
      </c>
      <c r="B21" s="1">
        <v>44996</v>
      </c>
      <c r="C21" t="s">
        <v>13</v>
      </c>
      <c r="D21" t="s">
        <v>24</v>
      </c>
      <c r="E21">
        <v>15</v>
      </c>
      <c r="F21" t="s">
        <v>28</v>
      </c>
      <c r="G21">
        <v>2543.36</v>
      </c>
      <c r="H21">
        <v>2790.1000000000004</v>
      </c>
      <c r="I21" t="s">
        <v>16</v>
      </c>
      <c r="J21">
        <v>7.0000000000000007E-2</v>
      </c>
      <c r="K21" t="s">
        <v>17</v>
      </c>
      <c r="L21" t="s">
        <v>18</v>
      </c>
      <c r="M21" t="s">
        <v>31</v>
      </c>
      <c r="N21">
        <f>sales_data_1[[#This Row],[Unit_Price]]-sales_data_1[[#This Row],[Unit_Cost]]</f>
        <v>246.74000000000024</v>
      </c>
      <c r="O21">
        <f>sales_data_1[[#This Row],[Unit_Price]]*sales_data_1[[#This Row],[Quantity_Sold]]</f>
        <v>41851.500000000007</v>
      </c>
      <c r="P21">
        <f>sales_data_1[[#This Row],[Unit - cost]]*sales_data_1[[#This Row],[Quantity_Sold]]</f>
        <v>3701.1000000000035</v>
      </c>
    </row>
    <row r="22" spans="1:18" x14ac:dyDescent="0.3">
      <c r="A22">
        <v>1002</v>
      </c>
      <c r="B22" s="1">
        <v>45038</v>
      </c>
      <c r="C22" t="s">
        <v>37</v>
      </c>
      <c r="D22" t="s">
        <v>14</v>
      </c>
      <c r="E22">
        <v>9</v>
      </c>
      <c r="F22" t="s">
        <v>34</v>
      </c>
      <c r="G22">
        <v>4398.16</v>
      </c>
      <c r="H22">
        <v>4439.12</v>
      </c>
      <c r="I22" t="s">
        <v>29</v>
      </c>
      <c r="J22">
        <v>0.18</v>
      </c>
      <c r="K22" t="s">
        <v>26</v>
      </c>
      <c r="L22" t="s">
        <v>18</v>
      </c>
      <c r="M22" t="s">
        <v>39</v>
      </c>
      <c r="N22">
        <f>sales_data_1[[#This Row],[Unit_Price]]-sales_data_1[[#This Row],[Unit_Cost]]</f>
        <v>40.960000000000036</v>
      </c>
      <c r="O22">
        <f>sales_data_1[[#This Row],[Unit_Price]]*sales_data_1[[#This Row],[Quantity_Sold]]</f>
        <v>39952.080000000002</v>
      </c>
      <c r="P22">
        <f>sales_data_1[[#This Row],[Unit - cost]]*sales_data_1[[#This Row],[Quantity_Sold]]</f>
        <v>368.64000000000033</v>
      </c>
    </row>
    <row r="23" spans="1:18" x14ac:dyDescent="0.3">
      <c r="A23">
        <v>1064</v>
      </c>
      <c r="B23" s="1">
        <v>44930</v>
      </c>
      <c r="C23" t="s">
        <v>37</v>
      </c>
      <c r="D23" t="s">
        <v>33</v>
      </c>
      <c r="E23">
        <v>10</v>
      </c>
      <c r="F23" t="s">
        <v>34</v>
      </c>
      <c r="G23">
        <v>4764.96</v>
      </c>
      <c r="H23">
        <v>5074.42</v>
      </c>
      <c r="I23" t="s">
        <v>29</v>
      </c>
      <c r="J23">
        <v>0.12</v>
      </c>
      <c r="K23" t="s">
        <v>17</v>
      </c>
      <c r="L23" t="s">
        <v>18</v>
      </c>
      <c r="M23" t="s">
        <v>47</v>
      </c>
      <c r="N23">
        <f>sales_data_1[[#This Row],[Unit_Price]]-sales_data_1[[#This Row],[Unit_Cost]]</f>
        <v>309.46000000000004</v>
      </c>
      <c r="O23">
        <f>sales_data_1[[#This Row],[Unit_Price]]*sales_data_1[[#This Row],[Quantity_Sold]]</f>
        <v>50744.2</v>
      </c>
      <c r="P23">
        <f>sales_data_1[[#This Row],[Unit - cost]]*sales_data_1[[#This Row],[Quantity_Sold]]</f>
        <v>3094.6000000000004</v>
      </c>
    </row>
    <row r="24" spans="1:18" x14ac:dyDescent="0.3">
      <c r="A24">
        <v>1060</v>
      </c>
      <c r="B24" s="1">
        <v>45276</v>
      </c>
      <c r="C24" t="s">
        <v>37</v>
      </c>
      <c r="D24" t="s">
        <v>33</v>
      </c>
      <c r="E24">
        <v>44</v>
      </c>
      <c r="F24" t="s">
        <v>28</v>
      </c>
      <c r="G24">
        <v>3784.96</v>
      </c>
      <c r="H24">
        <v>4276.99</v>
      </c>
      <c r="I24" t="s">
        <v>29</v>
      </c>
      <c r="J24">
        <v>0.06</v>
      </c>
      <c r="K24" t="s">
        <v>26</v>
      </c>
      <c r="L24" t="s">
        <v>21</v>
      </c>
      <c r="M24" t="s">
        <v>47</v>
      </c>
      <c r="N24">
        <f>sales_data_1[[#This Row],[Unit_Price]]-sales_data_1[[#This Row],[Unit_Cost]]</f>
        <v>492.02999999999975</v>
      </c>
      <c r="O24">
        <f>sales_data_1[[#This Row],[Unit_Price]]*sales_data_1[[#This Row],[Quantity_Sold]]</f>
        <v>188187.56</v>
      </c>
      <c r="P24">
        <f>sales_data_1[[#This Row],[Unit - cost]]*sales_data_1[[#This Row],[Quantity_Sold]]</f>
        <v>21649.319999999989</v>
      </c>
    </row>
    <row r="25" spans="1:18" x14ac:dyDescent="0.3">
      <c r="A25">
        <v>1021</v>
      </c>
      <c r="B25" s="1">
        <v>45257</v>
      </c>
      <c r="C25" t="s">
        <v>41</v>
      </c>
      <c r="D25" t="s">
        <v>24</v>
      </c>
      <c r="E25">
        <v>31</v>
      </c>
      <c r="F25" t="s">
        <v>15</v>
      </c>
      <c r="G25">
        <v>2254.9899999999998</v>
      </c>
      <c r="H25">
        <v>2441.79</v>
      </c>
      <c r="I25" t="s">
        <v>16</v>
      </c>
      <c r="J25">
        <v>0.24</v>
      </c>
      <c r="K25" t="s">
        <v>26</v>
      </c>
      <c r="L25" t="s">
        <v>18</v>
      </c>
      <c r="M25" t="s">
        <v>42</v>
      </c>
      <c r="N25">
        <f>sales_data_1[[#This Row],[Unit_Price]]-sales_data_1[[#This Row],[Unit_Cost]]</f>
        <v>186.80000000000018</v>
      </c>
      <c r="O25">
        <f>sales_data_1[[#This Row],[Unit_Price]]*sales_data_1[[#This Row],[Quantity_Sold]]</f>
        <v>75695.490000000005</v>
      </c>
      <c r="P25">
        <f>sales_data_1[[#This Row],[Unit - cost]]*sales_data_1[[#This Row],[Quantity_Sold]]</f>
        <v>5790.8000000000056</v>
      </c>
    </row>
    <row r="26" spans="1:18" x14ac:dyDescent="0.3">
      <c r="A26">
        <v>1033</v>
      </c>
      <c r="B26" s="1">
        <v>45244</v>
      </c>
      <c r="C26" t="s">
        <v>23</v>
      </c>
      <c r="D26" t="s">
        <v>24</v>
      </c>
      <c r="E26">
        <v>23</v>
      </c>
      <c r="F26" t="s">
        <v>15</v>
      </c>
      <c r="G26">
        <v>2981.5</v>
      </c>
      <c r="H26">
        <v>3360.4</v>
      </c>
      <c r="I26" t="s">
        <v>16</v>
      </c>
      <c r="J26">
        <v>0.22</v>
      </c>
      <c r="K26" t="s">
        <v>26</v>
      </c>
      <c r="L26" t="s">
        <v>21</v>
      </c>
      <c r="M26" t="s">
        <v>27</v>
      </c>
      <c r="N26">
        <f>sales_data_1[[#This Row],[Unit_Price]]-sales_data_1[[#This Row],[Unit_Cost]]</f>
        <v>378.90000000000009</v>
      </c>
      <c r="O26">
        <f>sales_data_1[[#This Row],[Unit_Price]]*sales_data_1[[#This Row],[Quantity_Sold]]</f>
        <v>77289.2</v>
      </c>
      <c r="P26">
        <f>sales_data_1[[#This Row],[Unit - cost]]*sales_data_1[[#This Row],[Quantity_Sold]]</f>
        <v>8714.7000000000025</v>
      </c>
    </row>
    <row r="27" spans="1:18" x14ac:dyDescent="0.3">
      <c r="A27">
        <v>1076</v>
      </c>
      <c r="B27" s="1">
        <v>45276</v>
      </c>
      <c r="C27" t="s">
        <v>37</v>
      </c>
      <c r="D27" t="s">
        <v>33</v>
      </c>
      <c r="E27">
        <v>30</v>
      </c>
      <c r="F27" t="s">
        <v>28</v>
      </c>
      <c r="G27">
        <v>3519.63</v>
      </c>
      <c r="H27">
        <v>3774.65</v>
      </c>
      <c r="I27" t="s">
        <v>29</v>
      </c>
      <c r="J27">
        <v>0.2</v>
      </c>
      <c r="K27" t="s">
        <v>30</v>
      </c>
      <c r="L27" t="s">
        <v>21</v>
      </c>
      <c r="M27" t="s">
        <v>47</v>
      </c>
      <c r="N27">
        <f>sales_data_1[[#This Row],[Unit_Price]]-sales_data_1[[#This Row],[Unit_Cost]]</f>
        <v>255.01999999999998</v>
      </c>
      <c r="O27">
        <f>sales_data_1[[#This Row],[Unit_Price]]*sales_data_1[[#This Row],[Quantity_Sold]]</f>
        <v>113239.5</v>
      </c>
      <c r="P27">
        <f>sales_data_1[[#This Row],[Unit - cost]]*sales_data_1[[#This Row],[Quantity_Sold]]</f>
        <v>7650.5999999999995</v>
      </c>
    </row>
    <row r="28" spans="1:18" x14ac:dyDescent="0.3">
      <c r="A28">
        <v>1058</v>
      </c>
      <c r="B28" s="1">
        <v>45021</v>
      </c>
      <c r="C28" t="s">
        <v>41</v>
      </c>
      <c r="D28" t="s">
        <v>14</v>
      </c>
      <c r="E28">
        <v>33</v>
      </c>
      <c r="F28" t="s">
        <v>15</v>
      </c>
      <c r="G28">
        <v>1011.65</v>
      </c>
      <c r="H28">
        <v>1084.28</v>
      </c>
      <c r="I28" t="s">
        <v>16</v>
      </c>
      <c r="J28">
        <v>7.0000000000000007E-2</v>
      </c>
      <c r="K28" t="s">
        <v>26</v>
      </c>
      <c r="L28" t="s">
        <v>21</v>
      </c>
      <c r="M28" t="s">
        <v>48</v>
      </c>
      <c r="N28">
        <f>sales_data_1[[#This Row],[Unit_Price]]-sales_data_1[[#This Row],[Unit_Cost]]</f>
        <v>72.63</v>
      </c>
      <c r="O28">
        <f>sales_data_1[[#This Row],[Unit_Price]]*sales_data_1[[#This Row],[Quantity_Sold]]</f>
        <v>35781.24</v>
      </c>
      <c r="P28">
        <f>sales_data_1[[#This Row],[Unit - cost]]*sales_data_1[[#This Row],[Quantity_Sold]]</f>
        <v>2396.79</v>
      </c>
    </row>
    <row r="29" spans="1:18" x14ac:dyDescent="0.3">
      <c r="A29">
        <v>1022</v>
      </c>
      <c r="B29" s="1">
        <v>45078</v>
      </c>
      <c r="C29" t="s">
        <v>23</v>
      </c>
      <c r="D29" t="s">
        <v>33</v>
      </c>
      <c r="E29">
        <v>9</v>
      </c>
      <c r="F29" t="s">
        <v>34</v>
      </c>
      <c r="G29">
        <v>2263.65</v>
      </c>
      <c r="H29">
        <v>2558.9500000000003</v>
      </c>
      <c r="I29" t="s">
        <v>29</v>
      </c>
      <c r="J29">
        <v>0.03</v>
      </c>
      <c r="K29" t="s">
        <v>17</v>
      </c>
      <c r="L29" t="s">
        <v>18</v>
      </c>
      <c r="M29" t="s">
        <v>49</v>
      </c>
      <c r="N29">
        <f>sales_data_1[[#This Row],[Unit_Price]]-sales_data_1[[#This Row],[Unit_Cost]]</f>
        <v>295.30000000000018</v>
      </c>
      <c r="O29">
        <f>sales_data_1[[#This Row],[Unit_Price]]*sales_data_1[[#This Row],[Quantity_Sold]]</f>
        <v>23030.550000000003</v>
      </c>
      <c r="P29">
        <f>sales_data_1[[#This Row],[Unit - cost]]*sales_data_1[[#This Row],[Quantity_Sold]]</f>
        <v>2657.7000000000016</v>
      </c>
    </row>
    <row r="30" spans="1:18" x14ac:dyDescent="0.3">
      <c r="A30">
        <v>1089</v>
      </c>
      <c r="B30" s="1">
        <v>45237</v>
      </c>
      <c r="C30" t="s">
        <v>13</v>
      </c>
      <c r="D30" t="s">
        <v>20</v>
      </c>
      <c r="E30">
        <v>47</v>
      </c>
      <c r="F30" t="s">
        <v>15</v>
      </c>
      <c r="G30">
        <v>4157.62</v>
      </c>
      <c r="H30">
        <v>4314.5599999999995</v>
      </c>
      <c r="I30" t="s">
        <v>29</v>
      </c>
      <c r="J30">
        <v>0.17</v>
      </c>
      <c r="K30" t="s">
        <v>26</v>
      </c>
      <c r="L30" t="s">
        <v>21</v>
      </c>
      <c r="M30" t="s">
        <v>22</v>
      </c>
      <c r="N30">
        <f>sales_data_1[[#This Row],[Unit_Price]]-sales_data_1[[#This Row],[Unit_Cost]]</f>
        <v>156.9399999999996</v>
      </c>
      <c r="O30">
        <f>sales_data_1[[#This Row],[Unit_Price]]*sales_data_1[[#This Row],[Quantity_Sold]]</f>
        <v>202784.31999999998</v>
      </c>
      <c r="P30">
        <f>sales_data_1[[#This Row],[Unit - cost]]*sales_data_1[[#This Row],[Quantity_Sold]]</f>
        <v>7376.1799999999812</v>
      </c>
    </row>
    <row r="31" spans="1:18" x14ac:dyDescent="0.3">
      <c r="A31">
        <v>1049</v>
      </c>
      <c r="B31" s="1">
        <v>45063</v>
      </c>
      <c r="C31" t="s">
        <v>41</v>
      </c>
      <c r="D31" t="s">
        <v>20</v>
      </c>
      <c r="E31">
        <v>1</v>
      </c>
      <c r="F31" t="s">
        <v>15</v>
      </c>
      <c r="G31">
        <v>3290.89</v>
      </c>
      <c r="H31">
        <v>3317.75</v>
      </c>
      <c r="I31" t="s">
        <v>16</v>
      </c>
      <c r="J31">
        <v>0.17</v>
      </c>
      <c r="K31" t="s">
        <v>26</v>
      </c>
      <c r="L31" t="s">
        <v>18</v>
      </c>
      <c r="M31" t="s">
        <v>50</v>
      </c>
      <c r="N31">
        <f>sales_data_1[[#This Row],[Unit_Price]]-sales_data_1[[#This Row],[Unit_Cost]]</f>
        <v>26.860000000000127</v>
      </c>
      <c r="O31">
        <f>sales_data_1[[#This Row],[Unit_Price]]*sales_data_1[[#This Row],[Quantity_Sold]]</f>
        <v>3317.75</v>
      </c>
      <c r="P31">
        <f>sales_data_1[[#This Row],[Unit - cost]]*sales_data_1[[#This Row],[Quantity_Sold]]</f>
        <v>26.860000000000127</v>
      </c>
    </row>
    <row r="32" spans="1:18" x14ac:dyDescent="0.3">
      <c r="A32">
        <v>1091</v>
      </c>
      <c r="B32" s="1">
        <v>45173</v>
      </c>
      <c r="C32" t="s">
        <v>32</v>
      </c>
      <c r="D32" t="s">
        <v>24</v>
      </c>
      <c r="E32">
        <v>44</v>
      </c>
      <c r="F32" t="s">
        <v>25</v>
      </c>
      <c r="G32">
        <v>2085.46</v>
      </c>
      <c r="H32">
        <v>2406.58</v>
      </c>
      <c r="I32" t="s">
        <v>16</v>
      </c>
      <c r="J32">
        <v>0.06</v>
      </c>
      <c r="K32" t="s">
        <v>26</v>
      </c>
      <c r="L32" t="s">
        <v>21</v>
      </c>
      <c r="M32" t="s">
        <v>43</v>
      </c>
      <c r="N32">
        <f>sales_data_1[[#This Row],[Unit_Price]]-sales_data_1[[#This Row],[Unit_Cost]]</f>
        <v>321.11999999999989</v>
      </c>
      <c r="O32">
        <f>sales_data_1[[#This Row],[Unit_Price]]*sales_data_1[[#This Row],[Quantity_Sold]]</f>
        <v>105889.51999999999</v>
      </c>
      <c r="P32">
        <f>sales_data_1[[#This Row],[Unit - cost]]*sales_data_1[[#This Row],[Quantity_Sold]]</f>
        <v>14129.279999999995</v>
      </c>
    </row>
    <row r="33" spans="1:16" x14ac:dyDescent="0.3">
      <c r="A33">
        <v>1059</v>
      </c>
      <c r="B33" s="1">
        <v>45169</v>
      </c>
      <c r="C33" t="s">
        <v>41</v>
      </c>
      <c r="D33" t="s">
        <v>14</v>
      </c>
      <c r="E33">
        <v>35</v>
      </c>
      <c r="F33" t="s">
        <v>25</v>
      </c>
      <c r="G33">
        <v>3333.64</v>
      </c>
      <c r="H33">
        <v>3764.52</v>
      </c>
      <c r="I33" t="s">
        <v>16</v>
      </c>
      <c r="J33">
        <v>0.02</v>
      </c>
      <c r="K33" t="s">
        <v>30</v>
      </c>
      <c r="L33" t="s">
        <v>18</v>
      </c>
      <c r="M33" t="s">
        <v>48</v>
      </c>
      <c r="N33">
        <f>sales_data_1[[#This Row],[Unit_Price]]-sales_data_1[[#This Row],[Unit_Cost]]</f>
        <v>430.88000000000011</v>
      </c>
      <c r="O33">
        <f>sales_data_1[[#This Row],[Unit_Price]]*sales_data_1[[#This Row],[Quantity_Sold]]</f>
        <v>131758.20000000001</v>
      </c>
      <c r="P33">
        <f>sales_data_1[[#This Row],[Unit - cost]]*sales_data_1[[#This Row],[Quantity_Sold]]</f>
        <v>15080.800000000003</v>
      </c>
    </row>
    <row r="34" spans="1:16" x14ac:dyDescent="0.3">
      <c r="A34">
        <v>1042</v>
      </c>
      <c r="B34" s="1">
        <v>44957</v>
      </c>
      <c r="C34" t="s">
        <v>41</v>
      </c>
      <c r="D34" t="s">
        <v>14</v>
      </c>
      <c r="E34">
        <v>11</v>
      </c>
      <c r="F34" t="s">
        <v>25</v>
      </c>
      <c r="G34">
        <v>635.20000000000005</v>
      </c>
      <c r="H34">
        <v>814.1400000000001</v>
      </c>
      <c r="I34" t="s">
        <v>16</v>
      </c>
      <c r="J34">
        <v>0.02</v>
      </c>
      <c r="K34" t="s">
        <v>17</v>
      </c>
      <c r="L34" t="s">
        <v>18</v>
      </c>
      <c r="M34" t="s">
        <v>48</v>
      </c>
      <c r="N34">
        <f>sales_data_1[[#This Row],[Unit_Price]]-sales_data_1[[#This Row],[Unit_Cost]]</f>
        <v>178.94000000000005</v>
      </c>
      <c r="O34">
        <f>sales_data_1[[#This Row],[Unit_Price]]*sales_data_1[[#This Row],[Quantity_Sold]]</f>
        <v>8955.5400000000009</v>
      </c>
      <c r="P34">
        <f>sales_data_1[[#This Row],[Unit - cost]]*sales_data_1[[#This Row],[Quantity_Sold]]</f>
        <v>1968.3400000000006</v>
      </c>
    </row>
    <row r="35" spans="1:16" x14ac:dyDescent="0.3">
      <c r="A35">
        <v>1092</v>
      </c>
      <c r="B35" s="1">
        <v>44966</v>
      </c>
      <c r="C35" t="s">
        <v>23</v>
      </c>
      <c r="D35" t="s">
        <v>20</v>
      </c>
      <c r="E35">
        <v>34</v>
      </c>
      <c r="F35" t="s">
        <v>15</v>
      </c>
      <c r="G35">
        <v>2037.41</v>
      </c>
      <c r="H35">
        <v>2238.65</v>
      </c>
      <c r="I35" t="s">
        <v>29</v>
      </c>
      <c r="J35">
        <v>0.3</v>
      </c>
      <c r="K35" t="s">
        <v>30</v>
      </c>
      <c r="L35" t="s">
        <v>18</v>
      </c>
      <c r="M35" t="s">
        <v>46</v>
      </c>
      <c r="N35">
        <f>sales_data_1[[#This Row],[Unit_Price]]-sales_data_1[[#This Row],[Unit_Cost]]</f>
        <v>201.24</v>
      </c>
      <c r="O35">
        <f>sales_data_1[[#This Row],[Unit_Price]]*sales_data_1[[#This Row],[Quantity_Sold]]</f>
        <v>76114.100000000006</v>
      </c>
      <c r="P35">
        <f>sales_data_1[[#This Row],[Unit - cost]]*sales_data_1[[#This Row],[Quantity_Sold]]</f>
        <v>6842.16</v>
      </c>
    </row>
    <row r="36" spans="1:16" x14ac:dyDescent="0.3">
      <c r="A36">
        <v>1060</v>
      </c>
      <c r="B36" s="1">
        <v>45155</v>
      </c>
      <c r="C36" t="s">
        <v>13</v>
      </c>
      <c r="D36" t="s">
        <v>33</v>
      </c>
      <c r="E36">
        <v>16</v>
      </c>
      <c r="F36" t="s">
        <v>28</v>
      </c>
      <c r="G36">
        <v>3975.99</v>
      </c>
      <c r="H36">
        <v>4422.59</v>
      </c>
      <c r="I36" t="s">
        <v>29</v>
      </c>
      <c r="J36">
        <v>0.24</v>
      </c>
      <c r="K36" t="s">
        <v>17</v>
      </c>
      <c r="L36" t="s">
        <v>18</v>
      </c>
      <c r="M36" t="s">
        <v>45</v>
      </c>
      <c r="N36">
        <f>sales_data_1[[#This Row],[Unit_Price]]-sales_data_1[[#This Row],[Unit_Cost]]</f>
        <v>446.60000000000036</v>
      </c>
      <c r="O36">
        <f>sales_data_1[[#This Row],[Unit_Price]]*sales_data_1[[#This Row],[Quantity_Sold]]</f>
        <v>70761.440000000002</v>
      </c>
      <c r="P36">
        <f>sales_data_1[[#This Row],[Unit - cost]]*sales_data_1[[#This Row],[Quantity_Sold]]</f>
        <v>7145.6000000000058</v>
      </c>
    </row>
    <row r="37" spans="1:16" x14ac:dyDescent="0.3">
      <c r="A37">
        <v>1080</v>
      </c>
      <c r="B37" s="1">
        <v>44962</v>
      </c>
      <c r="C37" t="s">
        <v>32</v>
      </c>
      <c r="D37" t="s">
        <v>24</v>
      </c>
      <c r="E37">
        <v>9</v>
      </c>
      <c r="F37" t="s">
        <v>34</v>
      </c>
      <c r="G37">
        <v>1141.52</v>
      </c>
      <c r="H37">
        <v>1550.19</v>
      </c>
      <c r="I37" t="s">
        <v>29</v>
      </c>
      <c r="J37">
        <v>0.28000000000000003</v>
      </c>
      <c r="K37" t="s">
        <v>30</v>
      </c>
      <c r="L37" t="s">
        <v>21</v>
      </c>
      <c r="M37" t="s">
        <v>43</v>
      </c>
      <c r="N37">
        <f>sales_data_1[[#This Row],[Unit_Price]]-sales_data_1[[#This Row],[Unit_Cost]]</f>
        <v>408.67000000000007</v>
      </c>
      <c r="O37">
        <f>sales_data_1[[#This Row],[Unit_Price]]*sales_data_1[[#This Row],[Quantity_Sold]]</f>
        <v>13951.710000000001</v>
      </c>
      <c r="P37">
        <f>sales_data_1[[#This Row],[Unit - cost]]*sales_data_1[[#This Row],[Quantity_Sold]]</f>
        <v>3678.0300000000007</v>
      </c>
    </row>
    <row r="38" spans="1:16" x14ac:dyDescent="0.3">
      <c r="A38">
        <v>1015</v>
      </c>
      <c r="B38" s="1">
        <v>45149</v>
      </c>
      <c r="C38" t="s">
        <v>37</v>
      </c>
      <c r="D38" t="s">
        <v>33</v>
      </c>
      <c r="E38">
        <v>32</v>
      </c>
      <c r="F38" t="s">
        <v>15</v>
      </c>
      <c r="G38">
        <v>970.51</v>
      </c>
      <c r="H38">
        <v>1330.84</v>
      </c>
      <c r="I38" t="s">
        <v>16</v>
      </c>
      <c r="J38">
        <v>0.06</v>
      </c>
      <c r="K38" t="s">
        <v>17</v>
      </c>
      <c r="L38" t="s">
        <v>21</v>
      </c>
      <c r="M38" t="s">
        <v>47</v>
      </c>
      <c r="N38">
        <f>sales_data_1[[#This Row],[Unit_Price]]-sales_data_1[[#This Row],[Unit_Cost]]</f>
        <v>360.32999999999993</v>
      </c>
      <c r="O38">
        <f>sales_data_1[[#This Row],[Unit_Price]]*sales_data_1[[#This Row],[Quantity_Sold]]</f>
        <v>42586.879999999997</v>
      </c>
      <c r="P38">
        <f>sales_data_1[[#This Row],[Unit - cost]]*sales_data_1[[#This Row],[Quantity_Sold]]</f>
        <v>11530.559999999998</v>
      </c>
    </row>
    <row r="39" spans="1:16" x14ac:dyDescent="0.3">
      <c r="A39">
        <v>1062</v>
      </c>
      <c r="B39" s="1">
        <v>44932</v>
      </c>
      <c r="C39" t="s">
        <v>37</v>
      </c>
      <c r="D39" t="s">
        <v>33</v>
      </c>
      <c r="E39">
        <v>15</v>
      </c>
      <c r="F39" t="s">
        <v>28</v>
      </c>
      <c r="G39">
        <v>4756.55</v>
      </c>
      <c r="H39">
        <v>4888.46</v>
      </c>
      <c r="I39" t="s">
        <v>29</v>
      </c>
      <c r="J39">
        <v>0.28999999999999998</v>
      </c>
      <c r="K39" t="s">
        <v>30</v>
      </c>
      <c r="L39" t="s">
        <v>18</v>
      </c>
      <c r="M39" t="s">
        <v>47</v>
      </c>
      <c r="N39">
        <f>sales_data_1[[#This Row],[Unit_Price]]-sales_data_1[[#This Row],[Unit_Cost]]</f>
        <v>131.90999999999985</v>
      </c>
      <c r="O39">
        <f>sales_data_1[[#This Row],[Unit_Price]]*sales_data_1[[#This Row],[Quantity_Sold]]</f>
        <v>73326.899999999994</v>
      </c>
      <c r="P39">
        <f>sales_data_1[[#This Row],[Unit - cost]]*sales_data_1[[#This Row],[Quantity_Sold]]</f>
        <v>1978.6499999999978</v>
      </c>
    </row>
    <row r="40" spans="1:16" x14ac:dyDescent="0.3">
      <c r="A40">
        <v>1062</v>
      </c>
      <c r="B40" s="1">
        <v>45248</v>
      </c>
      <c r="C40" t="s">
        <v>41</v>
      </c>
      <c r="D40" t="s">
        <v>33</v>
      </c>
      <c r="E40">
        <v>12</v>
      </c>
      <c r="F40" t="s">
        <v>15</v>
      </c>
      <c r="G40">
        <v>1088.99</v>
      </c>
      <c r="H40">
        <v>1545</v>
      </c>
      <c r="I40" t="s">
        <v>16</v>
      </c>
      <c r="J40">
        <v>0.04</v>
      </c>
      <c r="K40" t="s">
        <v>26</v>
      </c>
      <c r="L40" t="s">
        <v>21</v>
      </c>
      <c r="M40" t="s">
        <v>51</v>
      </c>
      <c r="N40">
        <f>sales_data_1[[#This Row],[Unit_Price]]-sales_data_1[[#This Row],[Unit_Cost]]</f>
        <v>456.01</v>
      </c>
      <c r="O40">
        <f>sales_data_1[[#This Row],[Unit_Price]]*sales_data_1[[#This Row],[Quantity_Sold]]</f>
        <v>18540</v>
      </c>
      <c r="P40">
        <f>sales_data_1[[#This Row],[Unit - cost]]*sales_data_1[[#This Row],[Quantity_Sold]]</f>
        <v>5472.12</v>
      </c>
    </row>
    <row r="41" spans="1:16" x14ac:dyDescent="0.3">
      <c r="A41">
        <v>1047</v>
      </c>
      <c r="B41" s="1">
        <v>45146</v>
      </c>
      <c r="C41" t="s">
        <v>23</v>
      </c>
      <c r="D41" t="s">
        <v>14</v>
      </c>
      <c r="E41">
        <v>33</v>
      </c>
      <c r="F41" t="s">
        <v>34</v>
      </c>
      <c r="G41">
        <v>1341.55</v>
      </c>
      <c r="H41">
        <v>1427.21</v>
      </c>
      <c r="I41" t="s">
        <v>16</v>
      </c>
      <c r="J41">
        <v>0.15</v>
      </c>
      <c r="K41" t="s">
        <v>30</v>
      </c>
      <c r="L41" t="s">
        <v>18</v>
      </c>
      <c r="M41" t="s">
        <v>44</v>
      </c>
      <c r="N41">
        <f>sales_data_1[[#This Row],[Unit_Price]]-sales_data_1[[#This Row],[Unit_Cost]]</f>
        <v>85.660000000000082</v>
      </c>
      <c r="O41">
        <f>sales_data_1[[#This Row],[Unit_Price]]*sales_data_1[[#This Row],[Quantity_Sold]]</f>
        <v>47097.93</v>
      </c>
      <c r="P41">
        <f>sales_data_1[[#This Row],[Unit - cost]]*sales_data_1[[#This Row],[Quantity_Sold]]</f>
        <v>2826.7800000000025</v>
      </c>
    </row>
    <row r="42" spans="1:16" x14ac:dyDescent="0.3">
      <c r="A42">
        <v>1062</v>
      </c>
      <c r="B42" s="1">
        <v>45001</v>
      </c>
      <c r="C42" t="s">
        <v>23</v>
      </c>
      <c r="D42" t="s">
        <v>20</v>
      </c>
      <c r="E42">
        <v>45</v>
      </c>
      <c r="F42" t="s">
        <v>15</v>
      </c>
      <c r="G42">
        <v>4849.6000000000004</v>
      </c>
      <c r="H42">
        <v>5166.72</v>
      </c>
      <c r="I42" t="s">
        <v>16</v>
      </c>
      <c r="J42">
        <v>0.25</v>
      </c>
      <c r="K42" t="s">
        <v>30</v>
      </c>
      <c r="L42" t="s">
        <v>18</v>
      </c>
      <c r="M42" t="s">
        <v>46</v>
      </c>
      <c r="N42">
        <f>sales_data_1[[#This Row],[Unit_Price]]-sales_data_1[[#This Row],[Unit_Cost]]</f>
        <v>317.11999999999989</v>
      </c>
      <c r="O42">
        <f>sales_data_1[[#This Row],[Unit_Price]]*sales_data_1[[#This Row],[Quantity_Sold]]</f>
        <v>232502.40000000002</v>
      </c>
      <c r="P42">
        <f>sales_data_1[[#This Row],[Unit - cost]]*sales_data_1[[#This Row],[Quantity_Sold]]</f>
        <v>14270.399999999994</v>
      </c>
    </row>
    <row r="43" spans="1:16" x14ac:dyDescent="0.3">
      <c r="A43">
        <v>1051</v>
      </c>
      <c r="B43" s="1">
        <v>44930</v>
      </c>
      <c r="C43" t="s">
        <v>37</v>
      </c>
      <c r="D43" t="s">
        <v>14</v>
      </c>
      <c r="E43">
        <v>14</v>
      </c>
      <c r="F43" t="s">
        <v>34</v>
      </c>
      <c r="G43">
        <v>3686.81</v>
      </c>
      <c r="H43">
        <v>3710.92</v>
      </c>
      <c r="I43" t="s">
        <v>29</v>
      </c>
      <c r="J43">
        <v>0.1</v>
      </c>
      <c r="K43" t="s">
        <v>26</v>
      </c>
      <c r="L43" t="s">
        <v>21</v>
      </c>
      <c r="M43" t="s">
        <v>39</v>
      </c>
      <c r="N43">
        <f>sales_data_1[[#This Row],[Unit_Price]]-sales_data_1[[#This Row],[Unit_Cost]]</f>
        <v>24.110000000000127</v>
      </c>
      <c r="O43">
        <f>sales_data_1[[#This Row],[Unit_Price]]*sales_data_1[[#This Row],[Quantity_Sold]]</f>
        <v>51952.880000000005</v>
      </c>
      <c r="P43">
        <f>sales_data_1[[#This Row],[Unit - cost]]*sales_data_1[[#This Row],[Quantity_Sold]]</f>
        <v>337.54000000000178</v>
      </c>
    </row>
    <row r="44" spans="1:16" x14ac:dyDescent="0.3">
      <c r="A44">
        <v>1055</v>
      </c>
      <c r="B44" s="1">
        <v>45261</v>
      </c>
      <c r="C44" t="s">
        <v>32</v>
      </c>
      <c r="D44" t="s">
        <v>20</v>
      </c>
      <c r="E44">
        <v>8</v>
      </c>
      <c r="F44" t="s">
        <v>15</v>
      </c>
      <c r="G44">
        <v>3513</v>
      </c>
      <c r="H44">
        <v>3838.42</v>
      </c>
      <c r="I44" t="s">
        <v>16</v>
      </c>
      <c r="J44">
        <v>0.13</v>
      </c>
      <c r="K44" t="s">
        <v>26</v>
      </c>
      <c r="L44" t="s">
        <v>18</v>
      </c>
      <c r="M44" t="s">
        <v>36</v>
      </c>
      <c r="N44">
        <f>sales_data_1[[#This Row],[Unit_Price]]-sales_data_1[[#This Row],[Unit_Cost]]</f>
        <v>325.42000000000007</v>
      </c>
      <c r="O44">
        <f>sales_data_1[[#This Row],[Unit_Price]]*sales_data_1[[#This Row],[Quantity_Sold]]</f>
        <v>30707.360000000001</v>
      </c>
      <c r="P44">
        <f>sales_data_1[[#This Row],[Unit - cost]]*sales_data_1[[#This Row],[Quantity_Sold]]</f>
        <v>2603.3600000000006</v>
      </c>
    </row>
    <row r="45" spans="1:16" x14ac:dyDescent="0.3">
      <c r="A45">
        <v>1064</v>
      </c>
      <c r="B45" s="1">
        <v>45060</v>
      </c>
      <c r="C45" t="s">
        <v>13</v>
      </c>
      <c r="D45" t="s">
        <v>24</v>
      </c>
      <c r="E45">
        <v>8</v>
      </c>
      <c r="F45" t="s">
        <v>34</v>
      </c>
      <c r="G45">
        <v>4271.99</v>
      </c>
      <c r="H45">
        <v>4417.79</v>
      </c>
      <c r="I45" t="s">
        <v>16</v>
      </c>
      <c r="J45">
        <v>0.04</v>
      </c>
      <c r="K45" t="s">
        <v>17</v>
      </c>
      <c r="L45" t="s">
        <v>18</v>
      </c>
      <c r="M45" t="s">
        <v>31</v>
      </c>
      <c r="N45">
        <f>sales_data_1[[#This Row],[Unit_Price]]-sales_data_1[[#This Row],[Unit_Cost]]</f>
        <v>145.80000000000018</v>
      </c>
      <c r="O45">
        <f>sales_data_1[[#This Row],[Unit_Price]]*sales_data_1[[#This Row],[Quantity_Sold]]</f>
        <v>35342.32</v>
      </c>
      <c r="P45">
        <f>sales_data_1[[#This Row],[Unit - cost]]*sales_data_1[[#This Row],[Quantity_Sold]]</f>
        <v>1166.4000000000015</v>
      </c>
    </row>
    <row r="46" spans="1:16" x14ac:dyDescent="0.3">
      <c r="A46">
        <v>1003</v>
      </c>
      <c r="B46" s="1">
        <v>45044</v>
      </c>
      <c r="C46" t="s">
        <v>32</v>
      </c>
      <c r="D46" t="s">
        <v>24</v>
      </c>
      <c r="E46">
        <v>27</v>
      </c>
      <c r="F46" t="s">
        <v>15</v>
      </c>
      <c r="G46">
        <v>623.32000000000005</v>
      </c>
      <c r="H46">
        <v>853.66000000000008</v>
      </c>
      <c r="I46" t="s">
        <v>16</v>
      </c>
      <c r="J46">
        <v>0.04</v>
      </c>
      <c r="K46" t="s">
        <v>17</v>
      </c>
      <c r="L46" t="s">
        <v>18</v>
      </c>
      <c r="M46" t="s">
        <v>43</v>
      </c>
      <c r="N46">
        <f>sales_data_1[[#This Row],[Unit_Price]]-sales_data_1[[#This Row],[Unit_Cost]]</f>
        <v>230.34000000000003</v>
      </c>
      <c r="O46">
        <f>sales_data_1[[#This Row],[Unit_Price]]*sales_data_1[[#This Row],[Quantity_Sold]]</f>
        <v>23048.820000000003</v>
      </c>
      <c r="P46">
        <f>sales_data_1[[#This Row],[Unit - cost]]*sales_data_1[[#This Row],[Quantity_Sold]]</f>
        <v>6219.1800000000012</v>
      </c>
    </row>
    <row r="47" spans="1:16" x14ac:dyDescent="0.3">
      <c r="A47">
        <v>1051</v>
      </c>
      <c r="B47" s="1">
        <v>45020</v>
      </c>
      <c r="C47" t="s">
        <v>13</v>
      </c>
      <c r="D47" t="s">
        <v>33</v>
      </c>
      <c r="E47">
        <v>12</v>
      </c>
      <c r="F47" t="s">
        <v>34</v>
      </c>
      <c r="G47">
        <v>3544.48</v>
      </c>
      <c r="H47">
        <v>3723.66</v>
      </c>
      <c r="I47" t="s">
        <v>16</v>
      </c>
      <c r="J47">
        <v>0.19</v>
      </c>
      <c r="K47" t="s">
        <v>17</v>
      </c>
      <c r="L47" t="s">
        <v>18</v>
      </c>
      <c r="M47" t="s">
        <v>45</v>
      </c>
      <c r="N47">
        <f>sales_data_1[[#This Row],[Unit_Price]]-sales_data_1[[#This Row],[Unit_Cost]]</f>
        <v>179.17999999999984</v>
      </c>
      <c r="O47">
        <f>sales_data_1[[#This Row],[Unit_Price]]*sales_data_1[[#This Row],[Quantity_Sold]]</f>
        <v>44683.92</v>
      </c>
      <c r="P47">
        <f>sales_data_1[[#This Row],[Unit - cost]]*sales_data_1[[#This Row],[Quantity_Sold]]</f>
        <v>2150.159999999998</v>
      </c>
    </row>
    <row r="48" spans="1:16" x14ac:dyDescent="0.3">
      <c r="A48">
        <v>1007</v>
      </c>
      <c r="B48" s="1">
        <v>44988</v>
      </c>
      <c r="C48" t="s">
        <v>37</v>
      </c>
      <c r="D48" t="s">
        <v>20</v>
      </c>
      <c r="E48">
        <v>1</v>
      </c>
      <c r="F48" t="s">
        <v>25</v>
      </c>
      <c r="G48">
        <v>2543.2600000000002</v>
      </c>
      <c r="H48">
        <v>2637.9100000000003</v>
      </c>
      <c r="I48" t="s">
        <v>16</v>
      </c>
      <c r="J48">
        <v>0.2</v>
      </c>
      <c r="K48" t="s">
        <v>30</v>
      </c>
      <c r="L48" t="s">
        <v>18</v>
      </c>
      <c r="M48" t="s">
        <v>40</v>
      </c>
      <c r="N48">
        <f>sales_data_1[[#This Row],[Unit_Price]]-sales_data_1[[#This Row],[Unit_Cost]]</f>
        <v>94.650000000000091</v>
      </c>
      <c r="O48">
        <f>sales_data_1[[#This Row],[Unit_Price]]*sales_data_1[[#This Row],[Quantity_Sold]]</f>
        <v>2637.9100000000003</v>
      </c>
      <c r="P48">
        <f>sales_data_1[[#This Row],[Unit - cost]]*sales_data_1[[#This Row],[Quantity_Sold]]</f>
        <v>94.650000000000091</v>
      </c>
    </row>
    <row r="49" spans="1:16" x14ac:dyDescent="0.3">
      <c r="A49">
        <v>1021</v>
      </c>
      <c r="B49" s="1">
        <v>45120</v>
      </c>
      <c r="C49" t="s">
        <v>13</v>
      </c>
      <c r="D49" t="s">
        <v>20</v>
      </c>
      <c r="E49">
        <v>43</v>
      </c>
      <c r="F49" t="s">
        <v>15</v>
      </c>
      <c r="G49">
        <v>4154.3</v>
      </c>
      <c r="H49">
        <v>4469.07</v>
      </c>
      <c r="I49" t="s">
        <v>16</v>
      </c>
      <c r="J49">
        <v>0.23</v>
      </c>
      <c r="K49" t="s">
        <v>17</v>
      </c>
      <c r="L49" t="s">
        <v>21</v>
      </c>
      <c r="M49" t="s">
        <v>22</v>
      </c>
      <c r="N49">
        <f>sales_data_1[[#This Row],[Unit_Price]]-sales_data_1[[#This Row],[Unit_Cost]]</f>
        <v>314.76999999999953</v>
      </c>
      <c r="O49">
        <f>sales_data_1[[#This Row],[Unit_Price]]*sales_data_1[[#This Row],[Quantity_Sold]]</f>
        <v>192170.00999999998</v>
      </c>
      <c r="P49">
        <f>sales_data_1[[#This Row],[Unit - cost]]*sales_data_1[[#This Row],[Quantity_Sold]]</f>
        <v>13535.109999999979</v>
      </c>
    </row>
    <row r="50" spans="1:16" x14ac:dyDescent="0.3">
      <c r="A50">
        <v>1073</v>
      </c>
      <c r="B50" s="1">
        <v>45261</v>
      </c>
      <c r="C50" t="s">
        <v>23</v>
      </c>
      <c r="D50" t="s">
        <v>20</v>
      </c>
      <c r="E50">
        <v>40</v>
      </c>
      <c r="F50" t="s">
        <v>15</v>
      </c>
      <c r="G50">
        <v>2565.3000000000002</v>
      </c>
      <c r="H50">
        <v>3007.4700000000003</v>
      </c>
      <c r="I50" t="s">
        <v>16</v>
      </c>
      <c r="J50">
        <v>0.17</v>
      </c>
      <c r="K50" t="s">
        <v>30</v>
      </c>
      <c r="L50" t="s">
        <v>21</v>
      </c>
      <c r="M50" t="s">
        <v>46</v>
      </c>
      <c r="N50">
        <f>sales_data_1[[#This Row],[Unit_Price]]-sales_data_1[[#This Row],[Unit_Cost]]</f>
        <v>442.17000000000007</v>
      </c>
      <c r="O50">
        <f>sales_data_1[[#This Row],[Unit_Price]]*sales_data_1[[#This Row],[Quantity_Sold]]</f>
        <v>120298.80000000002</v>
      </c>
      <c r="P50">
        <f>sales_data_1[[#This Row],[Unit - cost]]*sales_data_1[[#This Row],[Quantity_Sold]]</f>
        <v>17686.800000000003</v>
      </c>
    </row>
    <row r="51" spans="1:16" x14ac:dyDescent="0.3">
      <c r="A51">
        <v>1039</v>
      </c>
      <c r="B51" s="1">
        <v>45129</v>
      </c>
      <c r="C51" t="s">
        <v>41</v>
      </c>
      <c r="D51" t="s">
        <v>33</v>
      </c>
      <c r="E51">
        <v>42</v>
      </c>
      <c r="F51" t="s">
        <v>28</v>
      </c>
      <c r="G51">
        <v>3120.19</v>
      </c>
      <c r="H51">
        <v>3600.14</v>
      </c>
      <c r="I51" t="s">
        <v>16</v>
      </c>
      <c r="J51">
        <v>0.19</v>
      </c>
      <c r="K51" t="s">
        <v>30</v>
      </c>
      <c r="L51" t="s">
        <v>21</v>
      </c>
      <c r="M51" t="s">
        <v>51</v>
      </c>
      <c r="N51">
        <f>sales_data_1[[#This Row],[Unit_Price]]-sales_data_1[[#This Row],[Unit_Cost]]</f>
        <v>479.94999999999982</v>
      </c>
      <c r="O51">
        <f>sales_data_1[[#This Row],[Unit_Price]]*sales_data_1[[#This Row],[Quantity_Sold]]</f>
        <v>151205.88</v>
      </c>
      <c r="P51">
        <f>sales_data_1[[#This Row],[Unit - cost]]*sales_data_1[[#This Row],[Quantity_Sold]]</f>
        <v>20157.899999999994</v>
      </c>
    </row>
    <row r="52" spans="1:16" x14ac:dyDescent="0.3">
      <c r="A52">
        <v>1018</v>
      </c>
      <c r="B52" s="1">
        <v>44952</v>
      </c>
      <c r="C52" t="s">
        <v>41</v>
      </c>
      <c r="D52" t="s">
        <v>33</v>
      </c>
      <c r="E52">
        <v>11</v>
      </c>
      <c r="F52" t="s">
        <v>28</v>
      </c>
      <c r="G52">
        <v>2414.8200000000002</v>
      </c>
      <c r="H52">
        <v>2519.0700000000002</v>
      </c>
      <c r="I52" t="s">
        <v>16</v>
      </c>
      <c r="J52">
        <v>0</v>
      </c>
      <c r="K52" t="s">
        <v>17</v>
      </c>
      <c r="L52" t="s">
        <v>18</v>
      </c>
      <c r="M52" t="s">
        <v>51</v>
      </c>
      <c r="N52">
        <f>sales_data_1[[#This Row],[Unit_Price]]-sales_data_1[[#This Row],[Unit_Cost]]</f>
        <v>104.25</v>
      </c>
      <c r="O52">
        <f>sales_data_1[[#This Row],[Unit_Price]]*sales_data_1[[#This Row],[Quantity_Sold]]</f>
        <v>27709.77</v>
      </c>
      <c r="P52">
        <f>sales_data_1[[#This Row],[Unit - cost]]*sales_data_1[[#This Row],[Quantity_Sold]]</f>
        <v>1146.75</v>
      </c>
    </row>
    <row r="53" spans="1:16" x14ac:dyDescent="0.3">
      <c r="A53">
        <v>1004</v>
      </c>
      <c r="B53" s="1">
        <v>45099</v>
      </c>
      <c r="C53" t="s">
        <v>37</v>
      </c>
      <c r="D53" t="s">
        <v>24</v>
      </c>
      <c r="E53">
        <v>39</v>
      </c>
      <c r="F53" t="s">
        <v>34</v>
      </c>
      <c r="G53">
        <v>2416.89</v>
      </c>
      <c r="H53">
        <v>2778.3999999999996</v>
      </c>
      <c r="I53" t="s">
        <v>16</v>
      </c>
      <c r="J53">
        <v>0.05</v>
      </c>
      <c r="K53" t="s">
        <v>17</v>
      </c>
      <c r="L53" t="s">
        <v>18</v>
      </c>
      <c r="M53" t="s">
        <v>38</v>
      </c>
      <c r="N53">
        <f>sales_data_1[[#This Row],[Unit_Price]]-sales_data_1[[#This Row],[Unit_Cost]]</f>
        <v>361.50999999999976</v>
      </c>
      <c r="O53">
        <f>sales_data_1[[#This Row],[Unit_Price]]*sales_data_1[[#This Row],[Quantity_Sold]]</f>
        <v>108357.59999999999</v>
      </c>
      <c r="P53">
        <f>sales_data_1[[#This Row],[Unit - cost]]*sales_data_1[[#This Row],[Quantity_Sold]]</f>
        <v>14098.88999999999</v>
      </c>
    </row>
    <row r="54" spans="1:16" x14ac:dyDescent="0.3">
      <c r="A54">
        <v>1089</v>
      </c>
      <c r="B54" s="1">
        <v>45226</v>
      </c>
      <c r="C54" t="s">
        <v>23</v>
      </c>
      <c r="D54" t="s">
        <v>14</v>
      </c>
      <c r="E54">
        <v>43</v>
      </c>
      <c r="F54" t="s">
        <v>15</v>
      </c>
      <c r="G54">
        <v>3851.45</v>
      </c>
      <c r="H54">
        <v>4186.9799999999996</v>
      </c>
      <c r="I54" t="s">
        <v>16</v>
      </c>
      <c r="J54">
        <v>0.3</v>
      </c>
      <c r="K54" t="s">
        <v>30</v>
      </c>
      <c r="L54" t="s">
        <v>18</v>
      </c>
      <c r="M54" t="s">
        <v>44</v>
      </c>
      <c r="N54">
        <f>sales_data_1[[#This Row],[Unit_Price]]-sales_data_1[[#This Row],[Unit_Cost]]</f>
        <v>335.52999999999975</v>
      </c>
      <c r="O54">
        <f>sales_data_1[[#This Row],[Unit_Price]]*sales_data_1[[#This Row],[Quantity_Sold]]</f>
        <v>180040.13999999998</v>
      </c>
      <c r="P54">
        <f>sales_data_1[[#This Row],[Unit - cost]]*sales_data_1[[#This Row],[Quantity_Sold]]</f>
        <v>14427.78999999999</v>
      </c>
    </row>
    <row r="55" spans="1:16" x14ac:dyDescent="0.3">
      <c r="A55">
        <v>1060</v>
      </c>
      <c r="B55" s="1">
        <v>45059</v>
      </c>
      <c r="C55" t="s">
        <v>32</v>
      </c>
      <c r="D55" t="s">
        <v>20</v>
      </c>
      <c r="E55">
        <v>31</v>
      </c>
      <c r="F55" t="s">
        <v>34</v>
      </c>
      <c r="G55">
        <v>3161.4</v>
      </c>
      <c r="H55">
        <v>3339.66</v>
      </c>
      <c r="I55" t="s">
        <v>16</v>
      </c>
      <c r="J55">
        <v>0.02</v>
      </c>
      <c r="K55" t="s">
        <v>26</v>
      </c>
      <c r="L55" t="s">
        <v>18</v>
      </c>
      <c r="M55" t="s">
        <v>36</v>
      </c>
      <c r="N55">
        <f>sales_data_1[[#This Row],[Unit_Price]]-sales_data_1[[#This Row],[Unit_Cost]]</f>
        <v>178.25999999999976</v>
      </c>
      <c r="O55">
        <f>sales_data_1[[#This Row],[Unit_Price]]*sales_data_1[[#This Row],[Quantity_Sold]]</f>
        <v>103529.45999999999</v>
      </c>
      <c r="P55">
        <f>sales_data_1[[#This Row],[Unit - cost]]*sales_data_1[[#This Row],[Quantity_Sold]]</f>
        <v>5526.0599999999922</v>
      </c>
    </row>
    <row r="56" spans="1:16" x14ac:dyDescent="0.3">
      <c r="A56">
        <v>1014</v>
      </c>
      <c r="B56" s="1">
        <v>45252</v>
      </c>
      <c r="C56" t="s">
        <v>23</v>
      </c>
      <c r="D56" t="s">
        <v>20</v>
      </c>
      <c r="E56">
        <v>17</v>
      </c>
      <c r="F56" t="s">
        <v>25</v>
      </c>
      <c r="G56">
        <v>3184.65</v>
      </c>
      <c r="H56">
        <v>3204.01</v>
      </c>
      <c r="I56" t="s">
        <v>29</v>
      </c>
      <c r="J56">
        <v>0.2</v>
      </c>
      <c r="K56" t="s">
        <v>26</v>
      </c>
      <c r="L56" t="s">
        <v>18</v>
      </c>
      <c r="M56" t="s">
        <v>46</v>
      </c>
      <c r="N56">
        <f>sales_data_1[[#This Row],[Unit_Price]]-sales_data_1[[#This Row],[Unit_Cost]]</f>
        <v>19.360000000000127</v>
      </c>
      <c r="O56">
        <f>sales_data_1[[#This Row],[Unit_Price]]*sales_data_1[[#This Row],[Quantity_Sold]]</f>
        <v>54468.170000000006</v>
      </c>
      <c r="P56">
        <f>sales_data_1[[#This Row],[Unit - cost]]*sales_data_1[[#This Row],[Quantity_Sold]]</f>
        <v>329.12000000000216</v>
      </c>
    </row>
    <row r="57" spans="1:16" x14ac:dyDescent="0.3">
      <c r="A57">
        <v>1009</v>
      </c>
      <c r="B57" s="1">
        <v>45044</v>
      </c>
      <c r="C57" t="s">
        <v>41</v>
      </c>
      <c r="D57" t="s">
        <v>14</v>
      </c>
      <c r="E57">
        <v>33</v>
      </c>
      <c r="F57" t="s">
        <v>28</v>
      </c>
      <c r="G57">
        <v>2278.9</v>
      </c>
      <c r="H57">
        <v>2626.9</v>
      </c>
      <c r="I57" t="s">
        <v>29</v>
      </c>
      <c r="J57">
        <v>0.05</v>
      </c>
      <c r="K57" t="s">
        <v>30</v>
      </c>
      <c r="L57" t="s">
        <v>18</v>
      </c>
      <c r="M57" t="s">
        <v>48</v>
      </c>
      <c r="N57">
        <f>sales_data_1[[#This Row],[Unit_Price]]-sales_data_1[[#This Row],[Unit_Cost]]</f>
        <v>348</v>
      </c>
      <c r="O57">
        <f>sales_data_1[[#This Row],[Unit_Price]]*sales_data_1[[#This Row],[Quantity_Sold]]</f>
        <v>86687.7</v>
      </c>
      <c r="P57">
        <f>sales_data_1[[#This Row],[Unit - cost]]*sales_data_1[[#This Row],[Quantity_Sold]]</f>
        <v>11484</v>
      </c>
    </row>
    <row r="58" spans="1:16" x14ac:dyDescent="0.3">
      <c r="A58">
        <v>1090</v>
      </c>
      <c r="B58" s="1">
        <v>45250</v>
      </c>
      <c r="C58" t="s">
        <v>41</v>
      </c>
      <c r="D58" t="s">
        <v>20</v>
      </c>
      <c r="E58">
        <v>32</v>
      </c>
      <c r="F58" t="s">
        <v>34</v>
      </c>
      <c r="G58">
        <v>2678.99</v>
      </c>
      <c r="H58">
        <v>3152.2799999999997</v>
      </c>
      <c r="I58" t="s">
        <v>16</v>
      </c>
      <c r="J58">
        <v>0.22</v>
      </c>
      <c r="K58" t="s">
        <v>17</v>
      </c>
      <c r="L58" t="s">
        <v>21</v>
      </c>
      <c r="M58" t="s">
        <v>50</v>
      </c>
      <c r="N58">
        <f>sales_data_1[[#This Row],[Unit_Price]]-sales_data_1[[#This Row],[Unit_Cost]]</f>
        <v>473.28999999999996</v>
      </c>
      <c r="O58">
        <f>sales_data_1[[#This Row],[Unit_Price]]*sales_data_1[[#This Row],[Quantity_Sold]]</f>
        <v>100872.95999999999</v>
      </c>
      <c r="P58">
        <f>sales_data_1[[#This Row],[Unit - cost]]*sales_data_1[[#This Row],[Quantity_Sold]]</f>
        <v>15145.279999999999</v>
      </c>
    </row>
    <row r="59" spans="1:16" x14ac:dyDescent="0.3">
      <c r="A59">
        <v>1053</v>
      </c>
      <c r="B59" s="1">
        <v>45201</v>
      </c>
      <c r="C59" t="s">
        <v>23</v>
      </c>
      <c r="D59" t="s">
        <v>33</v>
      </c>
      <c r="E59">
        <v>29</v>
      </c>
      <c r="F59" t="s">
        <v>34</v>
      </c>
      <c r="G59">
        <v>3741.3</v>
      </c>
      <c r="H59">
        <v>4061.04</v>
      </c>
      <c r="I59" t="s">
        <v>16</v>
      </c>
      <c r="J59">
        <v>0.21</v>
      </c>
      <c r="K59" t="s">
        <v>30</v>
      </c>
      <c r="L59" t="s">
        <v>18</v>
      </c>
      <c r="M59" t="s">
        <v>49</v>
      </c>
      <c r="N59">
        <f>sales_data_1[[#This Row],[Unit_Price]]-sales_data_1[[#This Row],[Unit_Cost]]</f>
        <v>319.73999999999978</v>
      </c>
      <c r="O59">
        <f>sales_data_1[[#This Row],[Unit_Price]]*sales_data_1[[#This Row],[Quantity_Sold]]</f>
        <v>117770.16</v>
      </c>
      <c r="P59">
        <f>sales_data_1[[#This Row],[Unit - cost]]*sales_data_1[[#This Row],[Quantity_Sold]]</f>
        <v>9272.4599999999937</v>
      </c>
    </row>
    <row r="60" spans="1:16" x14ac:dyDescent="0.3">
      <c r="A60">
        <v>1002</v>
      </c>
      <c r="B60" s="1">
        <v>45138</v>
      </c>
      <c r="C60" t="s">
        <v>23</v>
      </c>
      <c r="D60" t="s">
        <v>33</v>
      </c>
      <c r="E60">
        <v>21</v>
      </c>
      <c r="F60" t="s">
        <v>28</v>
      </c>
      <c r="G60">
        <v>4138.41</v>
      </c>
      <c r="H60">
        <v>4361.7</v>
      </c>
      <c r="I60" t="s">
        <v>16</v>
      </c>
      <c r="J60">
        <v>7.0000000000000007E-2</v>
      </c>
      <c r="K60" t="s">
        <v>30</v>
      </c>
      <c r="L60" t="s">
        <v>21</v>
      </c>
      <c r="M60" t="s">
        <v>49</v>
      </c>
      <c r="N60">
        <f>sales_data_1[[#This Row],[Unit_Price]]-sales_data_1[[#This Row],[Unit_Cost]]</f>
        <v>223.28999999999996</v>
      </c>
      <c r="O60">
        <f>sales_data_1[[#This Row],[Unit_Price]]*sales_data_1[[#This Row],[Quantity_Sold]]</f>
        <v>91595.7</v>
      </c>
      <c r="P60">
        <f>sales_data_1[[#This Row],[Unit - cost]]*sales_data_1[[#This Row],[Quantity_Sold]]</f>
        <v>4689.0899999999992</v>
      </c>
    </row>
    <row r="61" spans="1:16" x14ac:dyDescent="0.3">
      <c r="A61">
        <v>1084</v>
      </c>
      <c r="B61" s="1">
        <v>45151</v>
      </c>
      <c r="C61" t="s">
        <v>41</v>
      </c>
      <c r="D61" t="s">
        <v>20</v>
      </c>
      <c r="E61">
        <v>21</v>
      </c>
      <c r="F61" t="s">
        <v>15</v>
      </c>
      <c r="G61">
        <v>3497.98</v>
      </c>
      <c r="H61">
        <v>3765.31</v>
      </c>
      <c r="I61" t="s">
        <v>29</v>
      </c>
      <c r="J61">
        <v>0.08</v>
      </c>
      <c r="K61" t="s">
        <v>17</v>
      </c>
      <c r="L61" t="s">
        <v>18</v>
      </c>
      <c r="M61" t="s">
        <v>50</v>
      </c>
      <c r="N61">
        <f>sales_data_1[[#This Row],[Unit_Price]]-sales_data_1[[#This Row],[Unit_Cost]]</f>
        <v>267.32999999999993</v>
      </c>
      <c r="O61">
        <f>sales_data_1[[#This Row],[Unit_Price]]*sales_data_1[[#This Row],[Quantity_Sold]]</f>
        <v>79071.509999999995</v>
      </c>
      <c r="P61">
        <f>sales_data_1[[#This Row],[Unit - cost]]*sales_data_1[[#This Row],[Quantity_Sold]]</f>
        <v>5613.9299999999985</v>
      </c>
    </row>
    <row r="62" spans="1:16" x14ac:dyDescent="0.3">
      <c r="A62">
        <v>1092</v>
      </c>
      <c r="B62" s="1">
        <v>44946</v>
      </c>
      <c r="C62" t="s">
        <v>32</v>
      </c>
      <c r="D62" t="s">
        <v>33</v>
      </c>
      <c r="E62">
        <v>40</v>
      </c>
      <c r="F62" t="s">
        <v>34</v>
      </c>
      <c r="G62">
        <v>4624.16</v>
      </c>
      <c r="H62">
        <v>4731.9799999999996</v>
      </c>
      <c r="I62" t="s">
        <v>29</v>
      </c>
      <c r="J62">
        <v>0.2</v>
      </c>
      <c r="K62" t="s">
        <v>26</v>
      </c>
      <c r="L62" t="s">
        <v>21</v>
      </c>
      <c r="M62" t="s">
        <v>35</v>
      </c>
      <c r="N62">
        <f>sales_data_1[[#This Row],[Unit_Price]]-sales_data_1[[#This Row],[Unit_Cost]]</f>
        <v>107.81999999999971</v>
      </c>
      <c r="O62">
        <f>sales_data_1[[#This Row],[Unit_Price]]*sales_data_1[[#This Row],[Quantity_Sold]]</f>
        <v>189279.19999999998</v>
      </c>
      <c r="P62">
        <f>sales_data_1[[#This Row],[Unit - cost]]*sales_data_1[[#This Row],[Quantity_Sold]]</f>
        <v>4312.7999999999884</v>
      </c>
    </row>
    <row r="63" spans="1:16" x14ac:dyDescent="0.3">
      <c r="A63">
        <v>1060</v>
      </c>
      <c r="B63" s="1">
        <v>45039</v>
      </c>
      <c r="C63" t="s">
        <v>37</v>
      </c>
      <c r="D63" t="s">
        <v>33</v>
      </c>
      <c r="E63">
        <v>23</v>
      </c>
      <c r="F63" t="s">
        <v>28</v>
      </c>
      <c r="G63">
        <v>4110.6000000000004</v>
      </c>
      <c r="H63">
        <v>4488.3700000000008</v>
      </c>
      <c r="I63" t="s">
        <v>29</v>
      </c>
      <c r="J63">
        <v>0.12</v>
      </c>
      <c r="K63" t="s">
        <v>30</v>
      </c>
      <c r="L63" t="s">
        <v>18</v>
      </c>
      <c r="M63" t="s">
        <v>47</v>
      </c>
      <c r="N63">
        <f>sales_data_1[[#This Row],[Unit_Price]]-sales_data_1[[#This Row],[Unit_Cost]]</f>
        <v>377.77000000000044</v>
      </c>
      <c r="O63">
        <f>sales_data_1[[#This Row],[Unit_Price]]*sales_data_1[[#This Row],[Quantity_Sold]]</f>
        <v>103232.51000000002</v>
      </c>
      <c r="P63">
        <f>sales_data_1[[#This Row],[Unit - cost]]*sales_data_1[[#This Row],[Quantity_Sold]]</f>
        <v>8688.71000000001</v>
      </c>
    </row>
    <row r="64" spans="1:16" x14ac:dyDescent="0.3">
      <c r="A64">
        <v>1071</v>
      </c>
      <c r="B64" s="1">
        <v>45066</v>
      </c>
      <c r="C64" t="s">
        <v>37</v>
      </c>
      <c r="D64" t="s">
        <v>20</v>
      </c>
      <c r="E64">
        <v>6</v>
      </c>
      <c r="F64" t="s">
        <v>15</v>
      </c>
      <c r="G64">
        <v>2831.23</v>
      </c>
      <c r="H64">
        <v>3206.98</v>
      </c>
      <c r="I64" t="s">
        <v>16</v>
      </c>
      <c r="J64">
        <v>0.06</v>
      </c>
      <c r="K64" t="s">
        <v>26</v>
      </c>
      <c r="L64" t="s">
        <v>21</v>
      </c>
      <c r="M64" t="s">
        <v>40</v>
      </c>
      <c r="N64">
        <f>sales_data_1[[#This Row],[Unit_Price]]-sales_data_1[[#This Row],[Unit_Cost]]</f>
        <v>375.75</v>
      </c>
      <c r="O64">
        <f>sales_data_1[[#This Row],[Unit_Price]]*sales_data_1[[#This Row],[Quantity_Sold]]</f>
        <v>19241.88</v>
      </c>
      <c r="P64">
        <f>sales_data_1[[#This Row],[Unit - cost]]*sales_data_1[[#This Row],[Quantity_Sold]]</f>
        <v>2254.5</v>
      </c>
    </row>
    <row r="65" spans="1:16" x14ac:dyDescent="0.3">
      <c r="A65">
        <v>1044</v>
      </c>
      <c r="B65" s="1">
        <v>44973</v>
      </c>
      <c r="C65" t="s">
        <v>23</v>
      </c>
      <c r="D65" t="s">
        <v>24</v>
      </c>
      <c r="E65">
        <v>22</v>
      </c>
      <c r="F65" t="s">
        <v>25</v>
      </c>
      <c r="G65">
        <v>3373.46</v>
      </c>
      <c r="H65">
        <v>3454.76</v>
      </c>
      <c r="I65" t="s">
        <v>16</v>
      </c>
      <c r="J65">
        <v>0.22</v>
      </c>
      <c r="K65" t="s">
        <v>26</v>
      </c>
      <c r="L65" t="s">
        <v>21</v>
      </c>
      <c r="M65" t="s">
        <v>27</v>
      </c>
      <c r="N65">
        <f>sales_data_1[[#This Row],[Unit_Price]]-sales_data_1[[#This Row],[Unit_Cost]]</f>
        <v>81.300000000000182</v>
      </c>
      <c r="O65">
        <f>sales_data_1[[#This Row],[Unit_Price]]*sales_data_1[[#This Row],[Quantity_Sold]]</f>
        <v>76004.72</v>
      </c>
      <c r="P65">
        <f>sales_data_1[[#This Row],[Unit - cost]]*sales_data_1[[#This Row],[Quantity_Sold]]</f>
        <v>1788.600000000004</v>
      </c>
    </row>
    <row r="66" spans="1:16" x14ac:dyDescent="0.3">
      <c r="A66">
        <v>1008</v>
      </c>
      <c r="B66" s="1">
        <v>44927</v>
      </c>
      <c r="C66" t="s">
        <v>37</v>
      </c>
      <c r="D66" t="s">
        <v>14</v>
      </c>
      <c r="E66">
        <v>38</v>
      </c>
      <c r="F66" t="s">
        <v>28</v>
      </c>
      <c r="G66">
        <v>4635.2299999999996</v>
      </c>
      <c r="H66">
        <v>5075.4399999999996</v>
      </c>
      <c r="I66" t="s">
        <v>16</v>
      </c>
      <c r="J66">
        <v>0.05</v>
      </c>
      <c r="K66" t="s">
        <v>17</v>
      </c>
      <c r="L66" t="s">
        <v>18</v>
      </c>
      <c r="M66" t="s">
        <v>39</v>
      </c>
      <c r="N66">
        <f>sales_data_1[[#This Row],[Unit_Price]]-sales_data_1[[#This Row],[Unit_Cost]]</f>
        <v>440.21000000000004</v>
      </c>
      <c r="O66">
        <f>sales_data_1[[#This Row],[Unit_Price]]*sales_data_1[[#This Row],[Quantity_Sold]]</f>
        <v>192866.71999999997</v>
      </c>
      <c r="P66">
        <f>sales_data_1[[#This Row],[Unit - cost]]*sales_data_1[[#This Row],[Quantity_Sold]]</f>
        <v>16727.980000000003</v>
      </c>
    </row>
    <row r="67" spans="1:16" x14ac:dyDescent="0.3">
      <c r="A67">
        <v>1047</v>
      </c>
      <c r="B67" s="1">
        <v>45016</v>
      </c>
      <c r="C67" t="s">
        <v>41</v>
      </c>
      <c r="D67" t="s">
        <v>33</v>
      </c>
      <c r="E67">
        <v>37</v>
      </c>
      <c r="F67" t="s">
        <v>34</v>
      </c>
      <c r="G67">
        <v>3114.88</v>
      </c>
      <c r="H67">
        <v>3256.78</v>
      </c>
      <c r="I67" t="s">
        <v>16</v>
      </c>
      <c r="J67">
        <v>0.26</v>
      </c>
      <c r="K67" t="s">
        <v>30</v>
      </c>
      <c r="L67" t="s">
        <v>18</v>
      </c>
      <c r="M67" t="s">
        <v>51</v>
      </c>
      <c r="N67">
        <f>sales_data_1[[#This Row],[Unit_Price]]-sales_data_1[[#This Row],[Unit_Cost]]</f>
        <v>141.90000000000009</v>
      </c>
      <c r="O67">
        <f>sales_data_1[[#This Row],[Unit_Price]]*sales_data_1[[#This Row],[Quantity_Sold]]</f>
        <v>120500.86</v>
      </c>
      <c r="P67">
        <f>sales_data_1[[#This Row],[Unit - cost]]*sales_data_1[[#This Row],[Quantity_Sold]]</f>
        <v>5250.3000000000029</v>
      </c>
    </row>
    <row r="68" spans="1:16" x14ac:dyDescent="0.3">
      <c r="A68">
        <v>1035</v>
      </c>
      <c r="B68" s="1">
        <v>45068</v>
      </c>
      <c r="C68" t="s">
        <v>41</v>
      </c>
      <c r="D68" t="s">
        <v>24</v>
      </c>
      <c r="E68">
        <v>45</v>
      </c>
      <c r="F68" t="s">
        <v>25</v>
      </c>
      <c r="G68">
        <v>4132.79</v>
      </c>
      <c r="H68">
        <v>4624.1000000000004</v>
      </c>
      <c r="I68" t="s">
        <v>29</v>
      </c>
      <c r="J68">
        <v>0.15</v>
      </c>
      <c r="K68" t="s">
        <v>30</v>
      </c>
      <c r="L68" t="s">
        <v>21</v>
      </c>
      <c r="M68" t="s">
        <v>42</v>
      </c>
      <c r="N68">
        <f>sales_data_1[[#This Row],[Unit_Price]]-sales_data_1[[#This Row],[Unit_Cost]]</f>
        <v>491.3100000000004</v>
      </c>
      <c r="O68">
        <f>sales_data_1[[#This Row],[Unit_Price]]*sales_data_1[[#This Row],[Quantity_Sold]]</f>
        <v>208084.50000000003</v>
      </c>
      <c r="P68">
        <f>sales_data_1[[#This Row],[Unit - cost]]*sales_data_1[[#This Row],[Quantity_Sold]]</f>
        <v>22108.950000000019</v>
      </c>
    </row>
    <row r="69" spans="1:16" x14ac:dyDescent="0.3">
      <c r="A69">
        <v>1078</v>
      </c>
      <c r="B69" s="1">
        <v>45246</v>
      </c>
      <c r="C69" t="s">
        <v>23</v>
      </c>
      <c r="D69" t="s">
        <v>33</v>
      </c>
      <c r="E69">
        <v>8</v>
      </c>
      <c r="F69" t="s">
        <v>15</v>
      </c>
      <c r="G69">
        <v>3459.61</v>
      </c>
      <c r="H69">
        <v>3657.23</v>
      </c>
      <c r="I69" t="s">
        <v>16</v>
      </c>
      <c r="J69">
        <v>0.03</v>
      </c>
      <c r="K69" t="s">
        <v>26</v>
      </c>
      <c r="L69" t="s">
        <v>18</v>
      </c>
      <c r="M69" t="s">
        <v>49</v>
      </c>
      <c r="N69">
        <f>sales_data_1[[#This Row],[Unit_Price]]-sales_data_1[[#This Row],[Unit_Cost]]</f>
        <v>197.61999999999989</v>
      </c>
      <c r="O69">
        <f>sales_data_1[[#This Row],[Unit_Price]]*sales_data_1[[#This Row],[Quantity_Sold]]</f>
        <v>29257.84</v>
      </c>
      <c r="P69">
        <f>sales_data_1[[#This Row],[Unit - cost]]*sales_data_1[[#This Row],[Quantity_Sold]]</f>
        <v>1580.9599999999991</v>
      </c>
    </row>
    <row r="70" spans="1:16" x14ac:dyDescent="0.3">
      <c r="A70">
        <v>1081</v>
      </c>
      <c r="B70" s="1">
        <v>44964</v>
      </c>
      <c r="C70" t="s">
        <v>23</v>
      </c>
      <c r="D70" t="s">
        <v>33</v>
      </c>
      <c r="E70">
        <v>41</v>
      </c>
      <c r="F70" t="s">
        <v>15</v>
      </c>
      <c r="G70">
        <v>2782.08</v>
      </c>
      <c r="H70">
        <v>2879.24</v>
      </c>
      <c r="I70" t="s">
        <v>29</v>
      </c>
      <c r="J70">
        <v>0.21</v>
      </c>
      <c r="K70" t="s">
        <v>26</v>
      </c>
      <c r="L70" t="s">
        <v>18</v>
      </c>
      <c r="M70" t="s">
        <v>49</v>
      </c>
      <c r="N70">
        <f>sales_data_1[[#This Row],[Unit_Price]]-sales_data_1[[#This Row],[Unit_Cost]]</f>
        <v>97.159999999999854</v>
      </c>
      <c r="O70">
        <f>sales_data_1[[#This Row],[Unit_Price]]*sales_data_1[[#This Row],[Quantity_Sold]]</f>
        <v>118048.84</v>
      </c>
      <c r="P70">
        <f>sales_data_1[[#This Row],[Unit - cost]]*sales_data_1[[#This Row],[Quantity_Sold]]</f>
        <v>3983.559999999994</v>
      </c>
    </row>
    <row r="71" spans="1:16" x14ac:dyDescent="0.3">
      <c r="A71">
        <v>1036</v>
      </c>
      <c r="B71" s="1">
        <v>45219</v>
      </c>
      <c r="C71" t="s">
        <v>23</v>
      </c>
      <c r="D71" t="s">
        <v>14</v>
      </c>
      <c r="E71">
        <v>49</v>
      </c>
      <c r="F71" t="s">
        <v>28</v>
      </c>
      <c r="G71">
        <v>1247.0999999999999</v>
      </c>
      <c r="H71">
        <v>1429.4399999999998</v>
      </c>
      <c r="I71" t="s">
        <v>29</v>
      </c>
      <c r="J71">
        <v>0.16</v>
      </c>
      <c r="K71" t="s">
        <v>17</v>
      </c>
      <c r="L71" t="s">
        <v>18</v>
      </c>
      <c r="M71" t="s">
        <v>44</v>
      </c>
      <c r="N71">
        <f>sales_data_1[[#This Row],[Unit_Price]]-sales_data_1[[#This Row],[Unit_Cost]]</f>
        <v>182.33999999999992</v>
      </c>
      <c r="O71">
        <f>sales_data_1[[#This Row],[Unit_Price]]*sales_data_1[[#This Row],[Quantity_Sold]]</f>
        <v>70042.559999999998</v>
      </c>
      <c r="P71">
        <f>sales_data_1[[#This Row],[Unit - cost]]*sales_data_1[[#This Row],[Quantity_Sold]]</f>
        <v>8934.6599999999962</v>
      </c>
    </row>
    <row r="72" spans="1:16" x14ac:dyDescent="0.3">
      <c r="A72">
        <v>1050</v>
      </c>
      <c r="B72" s="1">
        <v>45065</v>
      </c>
      <c r="C72" t="s">
        <v>32</v>
      </c>
      <c r="D72" t="s">
        <v>33</v>
      </c>
      <c r="E72">
        <v>35</v>
      </c>
      <c r="F72" t="s">
        <v>28</v>
      </c>
      <c r="G72">
        <v>2158.69</v>
      </c>
      <c r="H72">
        <v>2384.38</v>
      </c>
      <c r="I72" t="s">
        <v>16</v>
      </c>
      <c r="J72">
        <v>0.09</v>
      </c>
      <c r="K72" t="s">
        <v>26</v>
      </c>
      <c r="L72" t="s">
        <v>21</v>
      </c>
      <c r="M72" t="s">
        <v>35</v>
      </c>
      <c r="N72">
        <f>sales_data_1[[#This Row],[Unit_Price]]-sales_data_1[[#This Row],[Unit_Cost]]</f>
        <v>225.69000000000005</v>
      </c>
      <c r="O72">
        <f>sales_data_1[[#This Row],[Unit_Price]]*sales_data_1[[#This Row],[Quantity_Sold]]</f>
        <v>83453.3</v>
      </c>
      <c r="P72">
        <f>sales_data_1[[#This Row],[Unit - cost]]*sales_data_1[[#This Row],[Quantity_Sold]]</f>
        <v>7899.1500000000015</v>
      </c>
    </row>
    <row r="73" spans="1:16" x14ac:dyDescent="0.3">
      <c r="A73">
        <v>1004</v>
      </c>
      <c r="B73" s="1">
        <v>45282</v>
      </c>
      <c r="C73" t="s">
        <v>37</v>
      </c>
      <c r="D73" t="s">
        <v>14</v>
      </c>
      <c r="E73">
        <v>11</v>
      </c>
      <c r="F73" t="s">
        <v>28</v>
      </c>
      <c r="G73">
        <v>4840.33</v>
      </c>
      <c r="H73">
        <v>4884.29</v>
      </c>
      <c r="I73" t="s">
        <v>29</v>
      </c>
      <c r="J73">
        <v>0.13</v>
      </c>
      <c r="K73" t="s">
        <v>17</v>
      </c>
      <c r="L73" t="s">
        <v>18</v>
      </c>
      <c r="M73" t="s">
        <v>39</v>
      </c>
      <c r="N73">
        <f>sales_data_1[[#This Row],[Unit_Price]]-sales_data_1[[#This Row],[Unit_Cost]]</f>
        <v>43.960000000000036</v>
      </c>
      <c r="O73">
        <f>sales_data_1[[#This Row],[Unit_Price]]*sales_data_1[[#This Row],[Quantity_Sold]]</f>
        <v>53727.19</v>
      </c>
      <c r="P73">
        <f>sales_data_1[[#This Row],[Unit - cost]]*sales_data_1[[#This Row],[Quantity_Sold]]</f>
        <v>483.5600000000004</v>
      </c>
    </row>
    <row r="74" spans="1:16" x14ac:dyDescent="0.3">
      <c r="A74">
        <v>1002</v>
      </c>
      <c r="B74" s="1">
        <v>45259</v>
      </c>
      <c r="C74" t="s">
        <v>23</v>
      </c>
      <c r="D74" t="s">
        <v>14</v>
      </c>
      <c r="E74">
        <v>24</v>
      </c>
      <c r="F74" t="s">
        <v>15</v>
      </c>
      <c r="G74">
        <v>3305.94</v>
      </c>
      <c r="H74">
        <v>3599.27</v>
      </c>
      <c r="I74" t="s">
        <v>29</v>
      </c>
      <c r="J74">
        <v>0.09</v>
      </c>
      <c r="K74" t="s">
        <v>30</v>
      </c>
      <c r="L74" t="s">
        <v>21</v>
      </c>
      <c r="M74" t="s">
        <v>44</v>
      </c>
      <c r="N74">
        <f>sales_data_1[[#This Row],[Unit_Price]]-sales_data_1[[#This Row],[Unit_Cost]]</f>
        <v>293.32999999999993</v>
      </c>
      <c r="O74">
        <f>sales_data_1[[#This Row],[Unit_Price]]*sales_data_1[[#This Row],[Quantity_Sold]]</f>
        <v>86382.48</v>
      </c>
      <c r="P74">
        <f>sales_data_1[[#This Row],[Unit - cost]]*sales_data_1[[#This Row],[Quantity_Sold]]</f>
        <v>7039.9199999999983</v>
      </c>
    </row>
    <row r="75" spans="1:16" x14ac:dyDescent="0.3">
      <c r="A75">
        <v>1006</v>
      </c>
      <c r="B75" s="1">
        <v>45185</v>
      </c>
      <c r="C75" t="s">
        <v>13</v>
      </c>
      <c r="D75" t="s">
        <v>14</v>
      </c>
      <c r="E75">
        <v>49</v>
      </c>
      <c r="F75" t="s">
        <v>25</v>
      </c>
      <c r="G75">
        <v>2843.76</v>
      </c>
      <c r="H75">
        <v>3146.6000000000004</v>
      </c>
      <c r="I75" t="s">
        <v>29</v>
      </c>
      <c r="J75">
        <v>0.08</v>
      </c>
      <c r="K75" t="s">
        <v>17</v>
      </c>
      <c r="L75" t="s">
        <v>21</v>
      </c>
      <c r="M75" t="s">
        <v>19</v>
      </c>
      <c r="N75">
        <f>sales_data_1[[#This Row],[Unit_Price]]-sales_data_1[[#This Row],[Unit_Cost]]</f>
        <v>302.84000000000015</v>
      </c>
      <c r="O75">
        <f>sales_data_1[[#This Row],[Unit_Price]]*sales_data_1[[#This Row],[Quantity_Sold]]</f>
        <v>154183.40000000002</v>
      </c>
      <c r="P75">
        <f>sales_data_1[[#This Row],[Unit - cost]]*sales_data_1[[#This Row],[Quantity_Sold]]</f>
        <v>14839.160000000007</v>
      </c>
    </row>
    <row r="76" spans="1:16" x14ac:dyDescent="0.3">
      <c r="A76">
        <v>1054</v>
      </c>
      <c r="B76" s="1">
        <v>45087</v>
      </c>
      <c r="C76" t="s">
        <v>13</v>
      </c>
      <c r="D76" t="s">
        <v>24</v>
      </c>
      <c r="E76">
        <v>21</v>
      </c>
      <c r="F76" t="s">
        <v>15</v>
      </c>
      <c r="G76">
        <v>4668.1400000000003</v>
      </c>
      <c r="H76">
        <v>5040.22</v>
      </c>
      <c r="I76" t="s">
        <v>29</v>
      </c>
      <c r="J76">
        <v>0.05</v>
      </c>
      <c r="K76" t="s">
        <v>26</v>
      </c>
      <c r="L76" t="s">
        <v>18</v>
      </c>
      <c r="M76" t="s">
        <v>31</v>
      </c>
      <c r="N76">
        <f>sales_data_1[[#This Row],[Unit_Price]]-sales_data_1[[#This Row],[Unit_Cost]]</f>
        <v>372.07999999999993</v>
      </c>
      <c r="O76">
        <f>sales_data_1[[#This Row],[Unit_Price]]*sales_data_1[[#This Row],[Quantity_Sold]]</f>
        <v>105844.62000000001</v>
      </c>
      <c r="P76">
        <f>sales_data_1[[#This Row],[Unit - cost]]*sales_data_1[[#This Row],[Quantity_Sold]]</f>
        <v>7813.6799999999985</v>
      </c>
    </row>
    <row r="77" spans="1:16" x14ac:dyDescent="0.3">
      <c r="A77">
        <v>1004</v>
      </c>
      <c r="B77" s="1">
        <v>45104</v>
      </c>
      <c r="C77" t="s">
        <v>41</v>
      </c>
      <c r="D77" t="s">
        <v>20</v>
      </c>
      <c r="E77">
        <v>2</v>
      </c>
      <c r="F77" t="s">
        <v>34</v>
      </c>
      <c r="G77">
        <v>2953.23</v>
      </c>
      <c r="H77">
        <v>2977.52</v>
      </c>
      <c r="I77" t="s">
        <v>16</v>
      </c>
      <c r="J77">
        <v>0.11</v>
      </c>
      <c r="K77" t="s">
        <v>30</v>
      </c>
      <c r="L77" t="s">
        <v>21</v>
      </c>
      <c r="M77" t="s">
        <v>50</v>
      </c>
      <c r="N77">
        <f>sales_data_1[[#This Row],[Unit_Price]]-sales_data_1[[#This Row],[Unit_Cost]]</f>
        <v>24.289999999999964</v>
      </c>
      <c r="O77">
        <f>sales_data_1[[#This Row],[Unit_Price]]*sales_data_1[[#This Row],[Quantity_Sold]]</f>
        <v>5955.04</v>
      </c>
      <c r="P77">
        <f>sales_data_1[[#This Row],[Unit - cost]]*sales_data_1[[#This Row],[Quantity_Sold]]</f>
        <v>48.579999999999927</v>
      </c>
    </row>
    <row r="78" spans="1:16" x14ac:dyDescent="0.3">
      <c r="A78">
        <v>1054</v>
      </c>
      <c r="B78" s="1">
        <v>44936</v>
      </c>
      <c r="C78" t="s">
        <v>37</v>
      </c>
      <c r="D78" t="s">
        <v>24</v>
      </c>
      <c r="E78">
        <v>40</v>
      </c>
      <c r="F78" t="s">
        <v>15</v>
      </c>
      <c r="G78">
        <v>2654.11</v>
      </c>
      <c r="H78">
        <v>2929.32</v>
      </c>
      <c r="I78" t="s">
        <v>16</v>
      </c>
      <c r="J78">
        <v>0.08</v>
      </c>
      <c r="K78" t="s">
        <v>17</v>
      </c>
      <c r="L78" t="s">
        <v>18</v>
      </c>
      <c r="M78" t="s">
        <v>38</v>
      </c>
      <c r="N78">
        <f>sales_data_1[[#This Row],[Unit_Price]]-sales_data_1[[#This Row],[Unit_Cost]]</f>
        <v>275.21000000000004</v>
      </c>
      <c r="O78">
        <f>sales_data_1[[#This Row],[Unit_Price]]*sales_data_1[[#This Row],[Quantity_Sold]]</f>
        <v>117172.8</v>
      </c>
      <c r="P78">
        <f>sales_data_1[[#This Row],[Unit - cost]]*sales_data_1[[#This Row],[Quantity_Sold]]</f>
        <v>11008.400000000001</v>
      </c>
    </row>
    <row r="79" spans="1:16" x14ac:dyDescent="0.3">
      <c r="A79">
        <v>1093</v>
      </c>
      <c r="B79" s="1">
        <v>45187</v>
      </c>
      <c r="C79" t="s">
        <v>23</v>
      </c>
      <c r="D79" t="s">
        <v>20</v>
      </c>
      <c r="E79">
        <v>19</v>
      </c>
      <c r="F79" t="s">
        <v>34</v>
      </c>
      <c r="G79">
        <v>3808.59</v>
      </c>
      <c r="H79">
        <v>3844.51</v>
      </c>
      <c r="I79" t="s">
        <v>29</v>
      </c>
      <c r="J79">
        <v>0.21</v>
      </c>
      <c r="K79" t="s">
        <v>30</v>
      </c>
      <c r="L79" t="s">
        <v>18</v>
      </c>
      <c r="M79" t="s">
        <v>46</v>
      </c>
      <c r="N79">
        <f>sales_data_1[[#This Row],[Unit_Price]]-sales_data_1[[#This Row],[Unit_Cost]]</f>
        <v>35.920000000000073</v>
      </c>
      <c r="O79">
        <f>sales_data_1[[#This Row],[Unit_Price]]*sales_data_1[[#This Row],[Quantity_Sold]]</f>
        <v>73045.69</v>
      </c>
      <c r="P79">
        <f>sales_data_1[[#This Row],[Unit - cost]]*sales_data_1[[#This Row],[Quantity_Sold]]</f>
        <v>682.48000000000138</v>
      </c>
    </row>
    <row r="80" spans="1:16" x14ac:dyDescent="0.3">
      <c r="A80">
        <v>1063</v>
      </c>
      <c r="B80" s="1">
        <v>45064</v>
      </c>
      <c r="C80" t="s">
        <v>13</v>
      </c>
      <c r="D80" t="s">
        <v>20</v>
      </c>
      <c r="E80">
        <v>39</v>
      </c>
      <c r="F80" t="s">
        <v>25</v>
      </c>
      <c r="G80">
        <v>3577.69</v>
      </c>
      <c r="H80">
        <v>3931.25</v>
      </c>
      <c r="I80" t="s">
        <v>16</v>
      </c>
      <c r="J80">
        <v>0.21</v>
      </c>
      <c r="K80" t="s">
        <v>17</v>
      </c>
      <c r="L80" t="s">
        <v>21</v>
      </c>
      <c r="M80" t="s">
        <v>22</v>
      </c>
      <c r="N80">
        <f>sales_data_1[[#This Row],[Unit_Price]]-sales_data_1[[#This Row],[Unit_Cost]]</f>
        <v>353.55999999999995</v>
      </c>
      <c r="O80">
        <f>sales_data_1[[#This Row],[Unit_Price]]*sales_data_1[[#This Row],[Quantity_Sold]]</f>
        <v>153318.75</v>
      </c>
      <c r="P80">
        <f>sales_data_1[[#This Row],[Unit - cost]]*sales_data_1[[#This Row],[Quantity_Sold]]</f>
        <v>13788.839999999998</v>
      </c>
    </row>
    <row r="81" spans="1:16" x14ac:dyDescent="0.3">
      <c r="A81">
        <v>1018</v>
      </c>
      <c r="B81" s="1">
        <v>45098</v>
      </c>
      <c r="C81" t="s">
        <v>37</v>
      </c>
      <c r="D81" t="s">
        <v>14</v>
      </c>
      <c r="E81">
        <v>28</v>
      </c>
      <c r="F81" t="s">
        <v>28</v>
      </c>
      <c r="G81">
        <v>1006.14</v>
      </c>
      <c r="H81">
        <v>1043.45</v>
      </c>
      <c r="I81" t="s">
        <v>29</v>
      </c>
      <c r="J81">
        <v>0.15</v>
      </c>
      <c r="K81" t="s">
        <v>26</v>
      </c>
      <c r="L81" t="s">
        <v>21</v>
      </c>
      <c r="M81" t="s">
        <v>39</v>
      </c>
      <c r="N81">
        <f>sales_data_1[[#This Row],[Unit_Price]]-sales_data_1[[#This Row],[Unit_Cost]]</f>
        <v>37.310000000000059</v>
      </c>
      <c r="O81">
        <f>sales_data_1[[#This Row],[Unit_Price]]*sales_data_1[[#This Row],[Quantity_Sold]]</f>
        <v>29216.600000000002</v>
      </c>
      <c r="P81">
        <f>sales_data_1[[#This Row],[Unit - cost]]*sales_data_1[[#This Row],[Quantity_Sold]]</f>
        <v>1044.6800000000017</v>
      </c>
    </row>
    <row r="82" spans="1:16" x14ac:dyDescent="0.3">
      <c r="A82">
        <v>1090</v>
      </c>
      <c r="B82" s="1">
        <v>44939</v>
      </c>
      <c r="C82" t="s">
        <v>41</v>
      </c>
      <c r="D82" t="s">
        <v>33</v>
      </c>
      <c r="E82">
        <v>17</v>
      </c>
      <c r="F82" t="s">
        <v>28</v>
      </c>
      <c r="G82">
        <v>2382.98</v>
      </c>
      <c r="H82">
        <v>2839.73</v>
      </c>
      <c r="I82" t="s">
        <v>16</v>
      </c>
      <c r="J82">
        <v>0.23</v>
      </c>
      <c r="K82" t="s">
        <v>26</v>
      </c>
      <c r="L82" t="s">
        <v>21</v>
      </c>
      <c r="M82" t="s">
        <v>51</v>
      </c>
      <c r="N82">
        <f>sales_data_1[[#This Row],[Unit_Price]]-sales_data_1[[#This Row],[Unit_Cost]]</f>
        <v>456.75</v>
      </c>
      <c r="O82">
        <f>sales_data_1[[#This Row],[Unit_Price]]*sales_data_1[[#This Row],[Quantity_Sold]]</f>
        <v>48275.41</v>
      </c>
      <c r="P82">
        <f>sales_data_1[[#This Row],[Unit - cost]]*sales_data_1[[#This Row],[Quantity_Sold]]</f>
        <v>7764.75</v>
      </c>
    </row>
    <row r="83" spans="1:16" x14ac:dyDescent="0.3">
      <c r="A83">
        <v>1044</v>
      </c>
      <c r="B83" s="1">
        <v>45094</v>
      </c>
      <c r="C83" t="s">
        <v>32</v>
      </c>
      <c r="D83" t="s">
        <v>14</v>
      </c>
      <c r="E83">
        <v>6</v>
      </c>
      <c r="F83" t="s">
        <v>15</v>
      </c>
      <c r="G83">
        <v>2388.9499999999998</v>
      </c>
      <c r="H83">
        <v>2742.97</v>
      </c>
      <c r="I83" t="s">
        <v>16</v>
      </c>
      <c r="J83">
        <v>0.25</v>
      </c>
      <c r="K83" t="s">
        <v>30</v>
      </c>
      <c r="L83" t="s">
        <v>21</v>
      </c>
      <c r="M83" t="s">
        <v>52</v>
      </c>
      <c r="N83">
        <f>sales_data_1[[#This Row],[Unit_Price]]-sales_data_1[[#This Row],[Unit_Cost]]</f>
        <v>354.02</v>
      </c>
      <c r="O83">
        <f>sales_data_1[[#This Row],[Unit_Price]]*sales_data_1[[#This Row],[Quantity_Sold]]</f>
        <v>16457.82</v>
      </c>
      <c r="P83">
        <f>sales_data_1[[#This Row],[Unit - cost]]*sales_data_1[[#This Row],[Quantity_Sold]]</f>
        <v>2124.12</v>
      </c>
    </row>
    <row r="84" spans="1:16" x14ac:dyDescent="0.3">
      <c r="A84">
        <v>1034</v>
      </c>
      <c r="B84" s="1">
        <v>45056</v>
      </c>
      <c r="C84" t="s">
        <v>37</v>
      </c>
      <c r="D84" t="s">
        <v>33</v>
      </c>
      <c r="E84">
        <v>19</v>
      </c>
      <c r="F84" t="s">
        <v>28</v>
      </c>
      <c r="G84">
        <v>1922.21</v>
      </c>
      <c r="H84">
        <v>2180.83</v>
      </c>
      <c r="I84" t="s">
        <v>16</v>
      </c>
      <c r="J84">
        <v>0.17</v>
      </c>
      <c r="K84" t="s">
        <v>30</v>
      </c>
      <c r="L84" t="s">
        <v>21</v>
      </c>
      <c r="M84" t="s">
        <v>47</v>
      </c>
      <c r="N84">
        <f>sales_data_1[[#This Row],[Unit_Price]]-sales_data_1[[#This Row],[Unit_Cost]]</f>
        <v>258.61999999999989</v>
      </c>
      <c r="O84">
        <f>sales_data_1[[#This Row],[Unit_Price]]*sales_data_1[[#This Row],[Quantity_Sold]]</f>
        <v>41435.769999999997</v>
      </c>
      <c r="P84">
        <f>sales_data_1[[#This Row],[Unit - cost]]*sales_data_1[[#This Row],[Quantity_Sold]]</f>
        <v>4913.7799999999979</v>
      </c>
    </row>
    <row r="85" spans="1:16" x14ac:dyDescent="0.3">
      <c r="A85">
        <v>1074</v>
      </c>
      <c r="B85" s="1">
        <v>45010</v>
      </c>
      <c r="C85" t="s">
        <v>37</v>
      </c>
      <c r="D85" t="s">
        <v>20</v>
      </c>
      <c r="E85">
        <v>38</v>
      </c>
      <c r="F85" t="s">
        <v>25</v>
      </c>
      <c r="G85">
        <v>2610.6</v>
      </c>
      <c r="H85">
        <v>2836.94</v>
      </c>
      <c r="I85" t="s">
        <v>16</v>
      </c>
      <c r="J85">
        <v>0.19</v>
      </c>
      <c r="K85" t="s">
        <v>30</v>
      </c>
      <c r="L85" t="s">
        <v>18</v>
      </c>
      <c r="M85" t="s">
        <v>40</v>
      </c>
      <c r="N85">
        <f>sales_data_1[[#This Row],[Unit_Price]]-sales_data_1[[#This Row],[Unit_Cost]]</f>
        <v>226.34000000000015</v>
      </c>
      <c r="O85">
        <f>sales_data_1[[#This Row],[Unit_Price]]*sales_data_1[[#This Row],[Quantity_Sold]]</f>
        <v>107803.72</v>
      </c>
      <c r="P85">
        <f>sales_data_1[[#This Row],[Unit - cost]]*sales_data_1[[#This Row],[Quantity_Sold]]</f>
        <v>8600.9200000000055</v>
      </c>
    </row>
    <row r="86" spans="1:16" x14ac:dyDescent="0.3">
      <c r="A86">
        <v>1062</v>
      </c>
      <c r="B86" s="1">
        <v>45247</v>
      </c>
      <c r="C86" t="s">
        <v>32</v>
      </c>
      <c r="D86" t="s">
        <v>14</v>
      </c>
      <c r="E86">
        <v>28</v>
      </c>
      <c r="F86" t="s">
        <v>28</v>
      </c>
      <c r="G86">
        <v>2094.88</v>
      </c>
      <c r="H86">
        <v>2168.9100000000003</v>
      </c>
      <c r="I86" t="s">
        <v>16</v>
      </c>
      <c r="J86">
        <v>0.08</v>
      </c>
      <c r="K86" t="s">
        <v>17</v>
      </c>
      <c r="L86" t="s">
        <v>21</v>
      </c>
      <c r="M86" t="s">
        <v>52</v>
      </c>
      <c r="N86">
        <f>sales_data_1[[#This Row],[Unit_Price]]-sales_data_1[[#This Row],[Unit_Cost]]</f>
        <v>74.0300000000002</v>
      </c>
      <c r="O86">
        <f>sales_data_1[[#This Row],[Unit_Price]]*sales_data_1[[#This Row],[Quantity_Sold]]</f>
        <v>60729.48000000001</v>
      </c>
      <c r="P86">
        <f>sales_data_1[[#This Row],[Unit - cost]]*sales_data_1[[#This Row],[Quantity_Sold]]</f>
        <v>2072.8400000000056</v>
      </c>
    </row>
    <row r="87" spans="1:16" x14ac:dyDescent="0.3">
      <c r="A87">
        <v>1100</v>
      </c>
      <c r="B87" s="1">
        <v>45245</v>
      </c>
      <c r="C87" t="s">
        <v>37</v>
      </c>
      <c r="D87" t="s">
        <v>33</v>
      </c>
      <c r="E87">
        <v>2</v>
      </c>
      <c r="F87" t="s">
        <v>15</v>
      </c>
      <c r="G87">
        <v>1036.76</v>
      </c>
      <c r="H87">
        <v>1189.3499999999999</v>
      </c>
      <c r="I87" t="s">
        <v>29</v>
      </c>
      <c r="J87">
        <v>0.27</v>
      </c>
      <c r="K87" t="s">
        <v>26</v>
      </c>
      <c r="L87" t="s">
        <v>18</v>
      </c>
      <c r="M87" t="s">
        <v>47</v>
      </c>
      <c r="N87">
        <f>sales_data_1[[#This Row],[Unit_Price]]-sales_data_1[[#This Row],[Unit_Cost]]</f>
        <v>152.58999999999992</v>
      </c>
      <c r="O87">
        <f>sales_data_1[[#This Row],[Unit_Price]]*sales_data_1[[#This Row],[Quantity_Sold]]</f>
        <v>2378.6999999999998</v>
      </c>
      <c r="P87">
        <f>sales_data_1[[#This Row],[Unit - cost]]*sales_data_1[[#This Row],[Quantity_Sold]]</f>
        <v>305.17999999999984</v>
      </c>
    </row>
    <row r="88" spans="1:16" x14ac:dyDescent="0.3">
      <c r="A88">
        <v>1014</v>
      </c>
      <c r="B88" s="1">
        <v>45027</v>
      </c>
      <c r="C88" t="s">
        <v>41</v>
      </c>
      <c r="D88" t="s">
        <v>24</v>
      </c>
      <c r="E88">
        <v>38</v>
      </c>
      <c r="F88" t="s">
        <v>25</v>
      </c>
      <c r="G88">
        <v>2091.21</v>
      </c>
      <c r="H88">
        <v>2527</v>
      </c>
      <c r="I88" t="s">
        <v>16</v>
      </c>
      <c r="J88">
        <v>0.01</v>
      </c>
      <c r="K88" t="s">
        <v>30</v>
      </c>
      <c r="L88" t="s">
        <v>18</v>
      </c>
      <c r="M88" t="s">
        <v>42</v>
      </c>
      <c r="N88">
        <f>sales_data_1[[#This Row],[Unit_Price]]-sales_data_1[[#This Row],[Unit_Cost]]</f>
        <v>435.78999999999996</v>
      </c>
      <c r="O88">
        <f>sales_data_1[[#This Row],[Unit_Price]]*sales_data_1[[#This Row],[Quantity_Sold]]</f>
        <v>96026</v>
      </c>
      <c r="P88">
        <f>sales_data_1[[#This Row],[Unit - cost]]*sales_data_1[[#This Row],[Quantity_Sold]]</f>
        <v>16560.019999999997</v>
      </c>
    </row>
    <row r="89" spans="1:16" x14ac:dyDescent="0.3">
      <c r="A89">
        <v>1095</v>
      </c>
      <c r="B89" s="1">
        <v>45255</v>
      </c>
      <c r="C89" t="s">
        <v>41</v>
      </c>
      <c r="D89" t="s">
        <v>33</v>
      </c>
      <c r="E89">
        <v>37</v>
      </c>
      <c r="F89" t="s">
        <v>34</v>
      </c>
      <c r="G89">
        <v>407.77</v>
      </c>
      <c r="H89">
        <v>860.95</v>
      </c>
      <c r="I89" t="s">
        <v>29</v>
      </c>
      <c r="J89">
        <v>0.1</v>
      </c>
      <c r="K89" t="s">
        <v>30</v>
      </c>
      <c r="L89" t="s">
        <v>21</v>
      </c>
      <c r="M89" t="s">
        <v>51</v>
      </c>
      <c r="N89">
        <f>sales_data_1[[#This Row],[Unit_Price]]-sales_data_1[[#This Row],[Unit_Cost]]</f>
        <v>453.18000000000006</v>
      </c>
      <c r="O89">
        <f>sales_data_1[[#This Row],[Unit_Price]]*sales_data_1[[#This Row],[Quantity_Sold]]</f>
        <v>31855.15</v>
      </c>
      <c r="P89">
        <f>sales_data_1[[#This Row],[Unit - cost]]*sales_data_1[[#This Row],[Quantity_Sold]]</f>
        <v>16767.660000000003</v>
      </c>
    </row>
    <row r="90" spans="1:16" x14ac:dyDescent="0.3">
      <c r="A90">
        <v>1048</v>
      </c>
      <c r="B90" s="1">
        <v>45199</v>
      </c>
      <c r="C90" t="s">
        <v>32</v>
      </c>
      <c r="D90" t="s">
        <v>14</v>
      </c>
      <c r="E90">
        <v>4</v>
      </c>
      <c r="F90" t="s">
        <v>15</v>
      </c>
      <c r="G90">
        <v>2900.14</v>
      </c>
      <c r="H90">
        <v>2910.5099999999998</v>
      </c>
      <c r="I90" t="s">
        <v>29</v>
      </c>
      <c r="J90">
        <v>0.22</v>
      </c>
      <c r="K90" t="s">
        <v>30</v>
      </c>
      <c r="L90" t="s">
        <v>21</v>
      </c>
      <c r="M90" t="s">
        <v>52</v>
      </c>
      <c r="N90">
        <f>sales_data_1[[#This Row],[Unit_Price]]-sales_data_1[[#This Row],[Unit_Cost]]</f>
        <v>10.369999999999891</v>
      </c>
      <c r="O90">
        <f>sales_data_1[[#This Row],[Unit_Price]]*sales_data_1[[#This Row],[Quantity_Sold]]</f>
        <v>11642.039999999999</v>
      </c>
      <c r="P90">
        <f>sales_data_1[[#This Row],[Unit - cost]]*sales_data_1[[#This Row],[Quantity_Sold]]</f>
        <v>41.479999999999563</v>
      </c>
    </row>
    <row r="91" spans="1:16" x14ac:dyDescent="0.3">
      <c r="A91">
        <v>1015</v>
      </c>
      <c r="B91" s="1">
        <v>45191</v>
      </c>
      <c r="C91" t="s">
        <v>23</v>
      </c>
      <c r="D91" t="s">
        <v>24</v>
      </c>
      <c r="E91">
        <v>22</v>
      </c>
      <c r="F91" t="s">
        <v>34</v>
      </c>
      <c r="G91">
        <v>4275.59</v>
      </c>
      <c r="H91">
        <v>4576.72</v>
      </c>
      <c r="I91" t="s">
        <v>16</v>
      </c>
      <c r="J91">
        <v>0.02</v>
      </c>
      <c r="K91" t="s">
        <v>17</v>
      </c>
      <c r="L91" t="s">
        <v>21</v>
      </c>
      <c r="M91" t="s">
        <v>27</v>
      </c>
      <c r="N91">
        <f>sales_data_1[[#This Row],[Unit_Price]]-sales_data_1[[#This Row],[Unit_Cost]]</f>
        <v>301.13000000000011</v>
      </c>
      <c r="O91">
        <f>sales_data_1[[#This Row],[Unit_Price]]*sales_data_1[[#This Row],[Quantity_Sold]]</f>
        <v>100687.84000000001</v>
      </c>
      <c r="P91">
        <f>sales_data_1[[#This Row],[Unit - cost]]*sales_data_1[[#This Row],[Quantity_Sold]]</f>
        <v>6624.8600000000024</v>
      </c>
    </row>
    <row r="92" spans="1:16" x14ac:dyDescent="0.3">
      <c r="A92">
        <v>1072</v>
      </c>
      <c r="B92" s="1">
        <v>44964</v>
      </c>
      <c r="C92" t="s">
        <v>13</v>
      </c>
      <c r="D92" t="s">
        <v>33</v>
      </c>
      <c r="E92">
        <v>26</v>
      </c>
      <c r="F92" t="s">
        <v>25</v>
      </c>
      <c r="G92">
        <v>3640.17</v>
      </c>
      <c r="H92">
        <v>4002.63</v>
      </c>
      <c r="I92" t="s">
        <v>29</v>
      </c>
      <c r="J92">
        <v>0.05</v>
      </c>
      <c r="K92" t="s">
        <v>30</v>
      </c>
      <c r="L92" t="s">
        <v>21</v>
      </c>
      <c r="M92" t="s">
        <v>45</v>
      </c>
      <c r="N92">
        <f>sales_data_1[[#This Row],[Unit_Price]]-sales_data_1[[#This Row],[Unit_Cost]]</f>
        <v>362.46000000000004</v>
      </c>
      <c r="O92">
        <f>sales_data_1[[#This Row],[Unit_Price]]*sales_data_1[[#This Row],[Quantity_Sold]]</f>
        <v>104068.38</v>
      </c>
      <c r="P92">
        <f>sales_data_1[[#This Row],[Unit - cost]]*sales_data_1[[#This Row],[Quantity_Sold]]</f>
        <v>9423.9600000000009</v>
      </c>
    </row>
    <row r="93" spans="1:16" x14ac:dyDescent="0.3">
      <c r="A93">
        <v>1078</v>
      </c>
      <c r="B93" s="1">
        <v>45020</v>
      </c>
      <c r="C93" t="s">
        <v>23</v>
      </c>
      <c r="D93" t="s">
        <v>33</v>
      </c>
      <c r="E93">
        <v>49</v>
      </c>
      <c r="F93" t="s">
        <v>15</v>
      </c>
      <c r="G93">
        <v>1833.95</v>
      </c>
      <c r="H93">
        <v>2147.14</v>
      </c>
      <c r="I93" t="s">
        <v>16</v>
      </c>
      <c r="J93">
        <v>0.18</v>
      </c>
      <c r="K93" t="s">
        <v>30</v>
      </c>
      <c r="L93" t="s">
        <v>21</v>
      </c>
      <c r="M93" t="s">
        <v>49</v>
      </c>
      <c r="N93">
        <f>sales_data_1[[#This Row],[Unit_Price]]-sales_data_1[[#This Row],[Unit_Cost]]</f>
        <v>313.18999999999983</v>
      </c>
      <c r="O93">
        <f>sales_data_1[[#This Row],[Unit_Price]]*sales_data_1[[#This Row],[Quantity_Sold]]</f>
        <v>105209.86</v>
      </c>
      <c r="P93">
        <f>sales_data_1[[#This Row],[Unit - cost]]*sales_data_1[[#This Row],[Quantity_Sold]]</f>
        <v>15346.309999999992</v>
      </c>
    </row>
    <row r="94" spans="1:16" x14ac:dyDescent="0.3">
      <c r="A94">
        <v>1087</v>
      </c>
      <c r="B94" s="1">
        <v>45021</v>
      </c>
      <c r="C94" t="s">
        <v>37</v>
      </c>
      <c r="D94" t="s">
        <v>33</v>
      </c>
      <c r="E94">
        <v>43</v>
      </c>
      <c r="F94" t="s">
        <v>15</v>
      </c>
      <c r="G94">
        <v>481</v>
      </c>
      <c r="H94">
        <v>531.02</v>
      </c>
      <c r="I94" t="s">
        <v>29</v>
      </c>
      <c r="J94">
        <v>0.17</v>
      </c>
      <c r="K94" t="s">
        <v>17</v>
      </c>
      <c r="L94" t="s">
        <v>18</v>
      </c>
      <c r="M94" t="s">
        <v>47</v>
      </c>
      <c r="N94">
        <f>sales_data_1[[#This Row],[Unit_Price]]-sales_data_1[[#This Row],[Unit_Cost]]</f>
        <v>50.019999999999982</v>
      </c>
      <c r="O94">
        <f>sales_data_1[[#This Row],[Unit_Price]]*sales_data_1[[#This Row],[Quantity_Sold]]</f>
        <v>22833.86</v>
      </c>
      <c r="P94">
        <f>sales_data_1[[#This Row],[Unit - cost]]*sales_data_1[[#This Row],[Quantity_Sold]]</f>
        <v>2150.8599999999992</v>
      </c>
    </row>
    <row r="95" spans="1:16" x14ac:dyDescent="0.3">
      <c r="A95">
        <v>1062</v>
      </c>
      <c r="B95" s="1">
        <v>45231</v>
      </c>
      <c r="C95" t="s">
        <v>13</v>
      </c>
      <c r="D95" t="s">
        <v>33</v>
      </c>
      <c r="E95">
        <v>36</v>
      </c>
      <c r="F95" t="s">
        <v>25</v>
      </c>
      <c r="G95">
        <v>1050.6400000000001</v>
      </c>
      <c r="H95">
        <v>1167.3300000000002</v>
      </c>
      <c r="I95" t="s">
        <v>29</v>
      </c>
      <c r="J95">
        <v>0.22</v>
      </c>
      <c r="K95" t="s">
        <v>17</v>
      </c>
      <c r="L95" t="s">
        <v>18</v>
      </c>
      <c r="M95" t="s">
        <v>45</v>
      </c>
      <c r="N95">
        <f>sales_data_1[[#This Row],[Unit_Price]]-sales_data_1[[#This Row],[Unit_Cost]]</f>
        <v>116.69000000000005</v>
      </c>
      <c r="O95">
        <f>sales_data_1[[#This Row],[Unit_Price]]*sales_data_1[[#This Row],[Quantity_Sold]]</f>
        <v>42023.880000000005</v>
      </c>
      <c r="P95">
        <f>sales_data_1[[#This Row],[Unit - cost]]*sales_data_1[[#This Row],[Quantity_Sold]]</f>
        <v>4200.840000000002</v>
      </c>
    </row>
    <row r="96" spans="1:16" x14ac:dyDescent="0.3">
      <c r="A96">
        <v>1040</v>
      </c>
      <c r="B96" s="1">
        <v>44995</v>
      </c>
      <c r="C96" t="s">
        <v>32</v>
      </c>
      <c r="D96" t="s">
        <v>33</v>
      </c>
      <c r="E96">
        <v>13</v>
      </c>
      <c r="F96" t="s">
        <v>28</v>
      </c>
      <c r="G96">
        <v>2750.18</v>
      </c>
      <c r="H96">
        <v>2882.85</v>
      </c>
      <c r="I96" t="s">
        <v>16</v>
      </c>
      <c r="J96">
        <v>0.24</v>
      </c>
      <c r="K96" t="s">
        <v>30</v>
      </c>
      <c r="L96" t="s">
        <v>18</v>
      </c>
      <c r="M96" t="s">
        <v>35</v>
      </c>
      <c r="N96">
        <f>sales_data_1[[#This Row],[Unit_Price]]-sales_data_1[[#This Row],[Unit_Cost]]</f>
        <v>132.67000000000007</v>
      </c>
      <c r="O96">
        <f>sales_data_1[[#This Row],[Unit_Price]]*sales_data_1[[#This Row],[Quantity_Sold]]</f>
        <v>37477.049999999996</v>
      </c>
      <c r="P96">
        <f>sales_data_1[[#This Row],[Unit - cost]]*sales_data_1[[#This Row],[Quantity_Sold]]</f>
        <v>1724.7100000000009</v>
      </c>
    </row>
    <row r="97" spans="1:16" x14ac:dyDescent="0.3">
      <c r="A97">
        <v>1085</v>
      </c>
      <c r="B97" s="1">
        <v>45244</v>
      </c>
      <c r="C97" t="s">
        <v>32</v>
      </c>
      <c r="D97" t="s">
        <v>24</v>
      </c>
      <c r="E97">
        <v>32</v>
      </c>
      <c r="F97" t="s">
        <v>15</v>
      </c>
      <c r="G97">
        <v>1074.93</v>
      </c>
      <c r="H97">
        <v>1492.48</v>
      </c>
      <c r="I97" t="s">
        <v>16</v>
      </c>
      <c r="J97">
        <v>0.04</v>
      </c>
      <c r="K97" t="s">
        <v>30</v>
      </c>
      <c r="L97" t="s">
        <v>21</v>
      </c>
      <c r="M97" t="s">
        <v>43</v>
      </c>
      <c r="N97">
        <f>sales_data_1[[#This Row],[Unit_Price]]-sales_data_1[[#This Row],[Unit_Cost]]</f>
        <v>417.54999999999995</v>
      </c>
      <c r="O97">
        <f>sales_data_1[[#This Row],[Unit_Price]]*sales_data_1[[#This Row],[Quantity_Sold]]</f>
        <v>47759.360000000001</v>
      </c>
      <c r="P97">
        <f>sales_data_1[[#This Row],[Unit - cost]]*sales_data_1[[#This Row],[Quantity_Sold]]</f>
        <v>13361.599999999999</v>
      </c>
    </row>
    <row r="98" spans="1:16" x14ac:dyDescent="0.3">
      <c r="A98">
        <v>1080</v>
      </c>
      <c r="B98" s="1">
        <v>45162</v>
      </c>
      <c r="C98" t="s">
        <v>13</v>
      </c>
      <c r="D98" t="s">
        <v>20</v>
      </c>
      <c r="E98">
        <v>17</v>
      </c>
      <c r="F98" t="s">
        <v>15</v>
      </c>
      <c r="G98">
        <v>2742.67</v>
      </c>
      <c r="H98">
        <v>2979.64</v>
      </c>
      <c r="I98" t="s">
        <v>16</v>
      </c>
      <c r="J98">
        <v>0.01</v>
      </c>
      <c r="K98" t="s">
        <v>17</v>
      </c>
      <c r="L98" t="s">
        <v>21</v>
      </c>
      <c r="M98" t="s">
        <v>22</v>
      </c>
      <c r="N98">
        <f>sales_data_1[[#This Row],[Unit_Price]]-sales_data_1[[#This Row],[Unit_Cost]]</f>
        <v>236.9699999999998</v>
      </c>
      <c r="O98">
        <f>sales_data_1[[#This Row],[Unit_Price]]*sales_data_1[[#This Row],[Quantity_Sold]]</f>
        <v>50653.88</v>
      </c>
      <c r="P98">
        <f>sales_data_1[[#This Row],[Unit - cost]]*sales_data_1[[#This Row],[Quantity_Sold]]</f>
        <v>4028.4899999999966</v>
      </c>
    </row>
    <row r="99" spans="1:16" x14ac:dyDescent="0.3">
      <c r="A99">
        <v>1082</v>
      </c>
      <c r="B99" s="1">
        <v>45260</v>
      </c>
      <c r="C99" t="s">
        <v>41</v>
      </c>
      <c r="D99" t="s">
        <v>24</v>
      </c>
      <c r="E99">
        <v>41</v>
      </c>
      <c r="F99" t="s">
        <v>34</v>
      </c>
      <c r="G99">
        <v>1196.42</v>
      </c>
      <c r="H99">
        <v>1444.97</v>
      </c>
      <c r="I99" t="s">
        <v>16</v>
      </c>
      <c r="J99">
        <v>0.21</v>
      </c>
      <c r="K99" t="s">
        <v>26</v>
      </c>
      <c r="L99" t="s">
        <v>18</v>
      </c>
      <c r="M99" t="s">
        <v>42</v>
      </c>
      <c r="N99">
        <f>sales_data_1[[#This Row],[Unit_Price]]-sales_data_1[[#This Row],[Unit_Cost]]</f>
        <v>248.54999999999995</v>
      </c>
      <c r="O99">
        <f>sales_data_1[[#This Row],[Unit_Price]]*sales_data_1[[#This Row],[Quantity_Sold]]</f>
        <v>59243.770000000004</v>
      </c>
      <c r="P99">
        <f>sales_data_1[[#This Row],[Unit - cost]]*sales_data_1[[#This Row],[Quantity_Sold]]</f>
        <v>10190.549999999997</v>
      </c>
    </row>
    <row r="100" spans="1:16" x14ac:dyDescent="0.3">
      <c r="A100">
        <v>1053</v>
      </c>
      <c r="B100" s="1">
        <v>45063</v>
      </c>
      <c r="C100" t="s">
        <v>13</v>
      </c>
      <c r="D100" t="s">
        <v>24</v>
      </c>
      <c r="E100">
        <v>36</v>
      </c>
      <c r="F100" t="s">
        <v>28</v>
      </c>
      <c r="G100">
        <v>4252.17</v>
      </c>
      <c r="H100">
        <v>4720.2700000000004</v>
      </c>
      <c r="I100" t="s">
        <v>29</v>
      </c>
      <c r="J100">
        <v>0.09</v>
      </c>
      <c r="K100" t="s">
        <v>17</v>
      </c>
      <c r="L100" t="s">
        <v>21</v>
      </c>
      <c r="M100" t="s">
        <v>31</v>
      </c>
      <c r="N100">
        <f>sales_data_1[[#This Row],[Unit_Price]]-sales_data_1[[#This Row],[Unit_Cost]]</f>
        <v>468.10000000000036</v>
      </c>
      <c r="O100">
        <f>sales_data_1[[#This Row],[Unit_Price]]*sales_data_1[[#This Row],[Quantity_Sold]]</f>
        <v>169929.72000000003</v>
      </c>
      <c r="P100">
        <f>sales_data_1[[#This Row],[Unit - cost]]*sales_data_1[[#This Row],[Quantity_Sold]]</f>
        <v>16851.600000000013</v>
      </c>
    </row>
    <row r="101" spans="1:16" x14ac:dyDescent="0.3">
      <c r="A101">
        <v>1024</v>
      </c>
      <c r="B101" s="1">
        <v>45002</v>
      </c>
      <c r="C101" t="s">
        <v>37</v>
      </c>
      <c r="D101" t="s">
        <v>24</v>
      </c>
      <c r="E101">
        <v>46</v>
      </c>
      <c r="F101" t="s">
        <v>34</v>
      </c>
      <c r="G101">
        <v>2016.49</v>
      </c>
      <c r="H101">
        <v>2338.66</v>
      </c>
      <c r="I101" t="s">
        <v>16</v>
      </c>
      <c r="J101">
        <v>0.19</v>
      </c>
      <c r="K101" t="s">
        <v>26</v>
      </c>
      <c r="L101" t="s">
        <v>21</v>
      </c>
      <c r="M101" t="s">
        <v>38</v>
      </c>
      <c r="N101">
        <f>sales_data_1[[#This Row],[Unit_Price]]-sales_data_1[[#This Row],[Unit_Cost]]</f>
        <v>322.16999999999985</v>
      </c>
      <c r="O101">
        <f>sales_data_1[[#This Row],[Unit_Price]]*sales_data_1[[#This Row],[Quantity_Sold]]</f>
        <v>107578.35999999999</v>
      </c>
      <c r="P101">
        <f>sales_data_1[[#This Row],[Unit - cost]]*sales_data_1[[#This Row],[Quantity_Sold]]</f>
        <v>14819.819999999992</v>
      </c>
    </row>
    <row r="102" spans="1:16" x14ac:dyDescent="0.3">
      <c r="A102">
        <v>1026</v>
      </c>
      <c r="B102" s="1">
        <v>44961</v>
      </c>
      <c r="C102" t="s">
        <v>41</v>
      </c>
      <c r="D102" t="s">
        <v>20</v>
      </c>
      <c r="E102">
        <v>19</v>
      </c>
      <c r="F102" t="s">
        <v>34</v>
      </c>
      <c r="G102">
        <v>1265.48</v>
      </c>
      <c r="H102">
        <v>1715.83</v>
      </c>
      <c r="I102" t="s">
        <v>29</v>
      </c>
      <c r="J102">
        <v>0.05</v>
      </c>
      <c r="K102" t="s">
        <v>30</v>
      </c>
      <c r="L102" t="s">
        <v>21</v>
      </c>
      <c r="M102" t="s">
        <v>50</v>
      </c>
      <c r="N102">
        <f>sales_data_1[[#This Row],[Unit_Price]]-sales_data_1[[#This Row],[Unit_Cost]]</f>
        <v>450.34999999999991</v>
      </c>
      <c r="O102">
        <f>sales_data_1[[#This Row],[Unit_Price]]*sales_data_1[[#This Row],[Quantity_Sold]]</f>
        <v>32600.769999999997</v>
      </c>
      <c r="P102">
        <f>sales_data_1[[#This Row],[Unit - cost]]*sales_data_1[[#This Row],[Quantity_Sold]]</f>
        <v>8556.6499999999978</v>
      </c>
    </row>
    <row r="103" spans="1:16" x14ac:dyDescent="0.3">
      <c r="A103">
        <v>1089</v>
      </c>
      <c r="B103" s="1">
        <v>44927</v>
      </c>
      <c r="C103" t="s">
        <v>32</v>
      </c>
      <c r="D103" t="s">
        <v>14</v>
      </c>
      <c r="E103">
        <v>35</v>
      </c>
      <c r="F103" t="s">
        <v>28</v>
      </c>
      <c r="G103">
        <v>4071.01</v>
      </c>
      <c r="H103">
        <v>4304.7</v>
      </c>
      <c r="I103" t="s">
        <v>29</v>
      </c>
      <c r="J103">
        <v>0.14000000000000001</v>
      </c>
      <c r="K103" t="s">
        <v>30</v>
      </c>
      <c r="L103" t="s">
        <v>18</v>
      </c>
      <c r="M103" t="s">
        <v>52</v>
      </c>
      <c r="N103">
        <f>sales_data_1[[#This Row],[Unit_Price]]-sales_data_1[[#This Row],[Unit_Cost]]</f>
        <v>233.6899999999996</v>
      </c>
      <c r="O103">
        <f>sales_data_1[[#This Row],[Unit_Price]]*sales_data_1[[#This Row],[Quantity_Sold]]</f>
        <v>150664.5</v>
      </c>
      <c r="P103">
        <f>sales_data_1[[#This Row],[Unit - cost]]*sales_data_1[[#This Row],[Quantity_Sold]]</f>
        <v>8179.149999999986</v>
      </c>
    </row>
    <row r="104" spans="1:16" x14ac:dyDescent="0.3">
      <c r="A104">
        <v>1060</v>
      </c>
      <c r="B104" s="1">
        <v>45222</v>
      </c>
      <c r="C104" t="s">
        <v>13</v>
      </c>
      <c r="D104" t="s">
        <v>20</v>
      </c>
      <c r="E104">
        <v>46</v>
      </c>
      <c r="F104" t="s">
        <v>28</v>
      </c>
      <c r="G104">
        <v>1747.05</v>
      </c>
      <c r="H104">
        <v>1830.27</v>
      </c>
      <c r="I104" t="s">
        <v>29</v>
      </c>
      <c r="J104">
        <v>0.15</v>
      </c>
      <c r="K104" t="s">
        <v>26</v>
      </c>
      <c r="L104" t="s">
        <v>21</v>
      </c>
      <c r="M104" t="s">
        <v>22</v>
      </c>
      <c r="N104">
        <f>sales_data_1[[#This Row],[Unit_Price]]-sales_data_1[[#This Row],[Unit_Cost]]</f>
        <v>83.220000000000027</v>
      </c>
      <c r="O104">
        <f>sales_data_1[[#This Row],[Unit_Price]]*sales_data_1[[#This Row],[Quantity_Sold]]</f>
        <v>84192.42</v>
      </c>
      <c r="P104">
        <f>sales_data_1[[#This Row],[Unit - cost]]*sales_data_1[[#This Row],[Quantity_Sold]]</f>
        <v>3828.1200000000013</v>
      </c>
    </row>
    <row r="105" spans="1:16" x14ac:dyDescent="0.3">
      <c r="A105">
        <v>1041</v>
      </c>
      <c r="B105" s="1">
        <v>45246</v>
      </c>
      <c r="C105" t="s">
        <v>23</v>
      </c>
      <c r="D105" t="s">
        <v>24</v>
      </c>
      <c r="E105">
        <v>40</v>
      </c>
      <c r="F105" t="s">
        <v>25</v>
      </c>
      <c r="G105">
        <v>601.86</v>
      </c>
      <c r="H105">
        <v>1067.53</v>
      </c>
      <c r="I105" t="s">
        <v>29</v>
      </c>
      <c r="J105">
        <v>0.18</v>
      </c>
      <c r="K105" t="s">
        <v>17</v>
      </c>
      <c r="L105" t="s">
        <v>18</v>
      </c>
      <c r="M105" t="s">
        <v>27</v>
      </c>
      <c r="N105">
        <f>sales_data_1[[#This Row],[Unit_Price]]-sales_data_1[[#This Row],[Unit_Cost]]</f>
        <v>465.66999999999996</v>
      </c>
      <c r="O105">
        <f>sales_data_1[[#This Row],[Unit_Price]]*sales_data_1[[#This Row],[Quantity_Sold]]</f>
        <v>42701.2</v>
      </c>
      <c r="P105">
        <f>sales_data_1[[#This Row],[Unit - cost]]*sales_data_1[[#This Row],[Quantity_Sold]]</f>
        <v>18626.8</v>
      </c>
    </row>
    <row r="106" spans="1:16" x14ac:dyDescent="0.3">
      <c r="A106">
        <v>1029</v>
      </c>
      <c r="B106" s="1">
        <v>44986</v>
      </c>
      <c r="C106" t="s">
        <v>23</v>
      </c>
      <c r="D106" t="s">
        <v>33</v>
      </c>
      <c r="E106">
        <v>28</v>
      </c>
      <c r="F106" t="s">
        <v>28</v>
      </c>
      <c r="G106">
        <v>2873.53</v>
      </c>
      <c r="H106">
        <v>3108.3</v>
      </c>
      <c r="I106" t="s">
        <v>29</v>
      </c>
      <c r="J106">
        <v>0.15</v>
      </c>
      <c r="K106" t="s">
        <v>30</v>
      </c>
      <c r="L106" t="s">
        <v>21</v>
      </c>
      <c r="M106" t="s">
        <v>49</v>
      </c>
      <c r="N106">
        <f>sales_data_1[[#This Row],[Unit_Price]]-sales_data_1[[#This Row],[Unit_Cost]]</f>
        <v>234.76999999999998</v>
      </c>
      <c r="O106">
        <f>sales_data_1[[#This Row],[Unit_Price]]*sales_data_1[[#This Row],[Quantity_Sold]]</f>
        <v>87032.400000000009</v>
      </c>
      <c r="P106">
        <f>sales_data_1[[#This Row],[Unit - cost]]*sales_data_1[[#This Row],[Quantity_Sold]]</f>
        <v>6573.5599999999995</v>
      </c>
    </row>
    <row r="107" spans="1:16" x14ac:dyDescent="0.3">
      <c r="A107">
        <v>1015</v>
      </c>
      <c r="B107" s="1">
        <v>45246</v>
      </c>
      <c r="C107" t="s">
        <v>37</v>
      </c>
      <c r="D107" t="s">
        <v>33</v>
      </c>
      <c r="E107">
        <v>1</v>
      </c>
      <c r="F107" t="s">
        <v>15</v>
      </c>
      <c r="G107">
        <v>2928.74</v>
      </c>
      <c r="H107">
        <v>3027.74</v>
      </c>
      <c r="I107" t="s">
        <v>29</v>
      </c>
      <c r="J107">
        <v>0.15</v>
      </c>
      <c r="K107" t="s">
        <v>26</v>
      </c>
      <c r="L107" t="s">
        <v>21</v>
      </c>
      <c r="M107" t="s">
        <v>47</v>
      </c>
      <c r="N107">
        <f>sales_data_1[[#This Row],[Unit_Price]]-sales_data_1[[#This Row],[Unit_Cost]]</f>
        <v>99</v>
      </c>
      <c r="O107">
        <f>sales_data_1[[#This Row],[Unit_Price]]*sales_data_1[[#This Row],[Quantity_Sold]]</f>
        <v>3027.74</v>
      </c>
      <c r="P107">
        <f>sales_data_1[[#This Row],[Unit - cost]]*sales_data_1[[#This Row],[Quantity_Sold]]</f>
        <v>99</v>
      </c>
    </row>
    <row r="108" spans="1:16" x14ac:dyDescent="0.3">
      <c r="A108">
        <v>1045</v>
      </c>
      <c r="B108" s="1">
        <v>45275</v>
      </c>
      <c r="C108" t="s">
        <v>23</v>
      </c>
      <c r="D108" t="s">
        <v>24</v>
      </c>
      <c r="E108">
        <v>42</v>
      </c>
      <c r="F108" t="s">
        <v>28</v>
      </c>
      <c r="G108">
        <v>3587.74</v>
      </c>
      <c r="H108">
        <v>3745.91</v>
      </c>
      <c r="I108" t="s">
        <v>16</v>
      </c>
      <c r="J108">
        <v>0.1</v>
      </c>
      <c r="K108" t="s">
        <v>17</v>
      </c>
      <c r="L108" t="s">
        <v>18</v>
      </c>
      <c r="M108" t="s">
        <v>27</v>
      </c>
      <c r="N108">
        <f>sales_data_1[[#This Row],[Unit_Price]]-sales_data_1[[#This Row],[Unit_Cost]]</f>
        <v>158.17000000000007</v>
      </c>
      <c r="O108">
        <f>sales_data_1[[#This Row],[Unit_Price]]*sales_data_1[[#This Row],[Quantity_Sold]]</f>
        <v>157328.22</v>
      </c>
      <c r="P108">
        <f>sales_data_1[[#This Row],[Unit - cost]]*sales_data_1[[#This Row],[Quantity_Sold]]</f>
        <v>6643.1400000000031</v>
      </c>
    </row>
    <row r="109" spans="1:16" x14ac:dyDescent="0.3">
      <c r="A109">
        <v>1065</v>
      </c>
      <c r="B109" s="1">
        <v>45254</v>
      </c>
      <c r="C109" t="s">
        <v>13</v>
      </c>
      <c r="D109" t="s">
        <v>33</v>
      </c>
      <c r="E109">
        <v>18</v>
      </c>
      <c r="F109" t="s">
        <v>25</v>
      </c>
      <c r="G109">
        <v>1239.0899999999999</v>
      </c>
      <c r="H109">
        <v>1273.98</v>
      </c>
      <c r="I109" t="s">
        <v>29</v>
      </c>
      <c r="J109">
        <v>0.02</v>
      </c>
      <c r="K109" t="s">
        <v>26</v>
      </c>
      <c r="L109" t="s">
        <v>21</v>
      </c>
      <c r="M109" t="s">
        <v>45</v>
      </c>
      <c r="N109">
        <f>sales_data_1[[#This Row],[Unit_Price]]-sales_data_1[[#This Row],[Unit_Cost]]</f>
        <v>34.8900000000001</v>
      </c>
      <c r="O109">
        <f>sales_data_1[[#This Row],[Unit_Price]]*sales_data_1[[#This Row],[Quantity_Sold]]</f>
        <v>22931.64</v>
      </c>
      <c r="P109">
        <f>sales_data_1[[#This Row],[Unit - cost]]*sales_data_1[[#This Row],[Quantity_Sold]]</f>
        <v>628.0200000000018</v>
      </c>
    </row>
    <row r="110" spans="1:16" x14ac:dyDescent="0.3">
      <c r="A110">
        <v>1089</v>
      </c>
      <c r="B110" s="1">
        <v>45193</v>
      </c>
      <c r="C110" t="s">
        <v>13</v>
      </c>
      <c r="D110" t="s">
        <v>24</v>
      </c>
      <c r="E110">
        <v>48</v>
      </c>
      <c r="F110" t="s">
        <v>25</v>
      </c>
      <c r="G110">
        <v>2246.67</v>
      </c>
      <c r="H110">
        <v>2486.14</v>
      </c>
      <c r="I110" t="s">
        <v>29</v>
      </c>
      <c r="J110">
        <v>0.03</v>
      </c>
      <c r="K110" t="s">
        <v>17</v>
      </c>
      <c r="L110" t="s">
        <v>21</v>
      </c>
      <c r="M110" t="s">
        <v>31</v>
      </c>
      <c r="N110">
        <f>sales_data_1[[#This Row],[Unit_Price]]-sales_data_1[[#This Row],[Unit_Cost]]</f>
        <v>239.4699999999998</v>
      </c>
      <c r="O110">
        <f>sales_data_1[[#This Row],[Unit_Price]]*sales_data_1[[#This Row],[Quantity_Sold]]</f>
        <v>119334.72</v>
      </c>
      <c r="P110">
        <f>sales_data_1[[#This Row],[Unit - cost]]*sales_data_1[[#This Row],[Quantity_Sold]]</f>
        <v>11494.55999999999</v>
      </c>
    </row>
    <row r="111" spans="1:16" x14ac:dyDescent="0.3">
      <c r="A111">
        <v>1071</v>
      </c>
      <c r="B111" s="1">
        <v>45287</v>
      </c>
      <c r="C111" t="s">
        <v>23</v>
      </c>
      <c r="D111" t="s">
        <v>33</v>
      </c>
      <c r="E111">
        <v>40</v>
      </c>
      <c r="F111" t="s">
        <v>25</v>
      </c>
      <c r="G111">
        <v>1447.72</v>
      </c>
      <c r="H111">
        <v>1875.75</v>
      </c>
      <c r="I111" t="s">
        <v>29</v>
      </c>
      <c r="J111">
        <v>0.13</v>
      </c>
      <c r="K111" t="s">
        <v>17</v>
      </c>
      <c r="L111" t="s">
        <v>21</v>
      </c>
      <c r="M111" t="s">
        <v>49</v>
      </c>
      <c r="N111">
        <f>sales_data_1[[#This Row],[Unit_Price]]-sales_data_1[[#This Row],[Unit_Cost]]</f>
        <v>428.03</v>
      </c>
      <c r="O111">
        <f>sales_data_1[[#This Row],[Unit_Price]]*sales_data_1[[#This Row],[Quantity_Sold]]</f>
        <v>75030</v>
      </c>
      <c r="P111">
        <f>sales_data_1[[#This Row],[Unit - cost]]*sales_data_1[[#This Row],[Quantity_Sold]]</f>
        <v>17121.199999999997</v>
      </c>
    </row>
    <row r="112" spans="1:16" x14ac:dyDescent="0.3">
      <c r="A112">
        <v>1009</v>
      </c>
      <c r="B112" s="1">
        <v>45155</v>
      </c>
      <c r="C112" t="s">
        <v>13</v>
      </c>
      <c r="D112" t="s">
        <v>20</v>
      </c>
      <c r="E112">
        <v>33</v>
      </c>
      <c r="F112" t="s">
        <v>28</v>
      </c>
      <c r="G112">
        <v>450.72</v>
      </c>
      <c r="H112">
        <v>918.17000000000007</v>
      </c>
      <c r="I112" t="s">
        <v>16</v>
      </c>
      <c r="J112">
        <v>0.11</v>
      </c>
      <c r="K112" t="s">
        <v>17</v>
      </c>
      <c r="L112" t="s">
        <v>18</v>
      </c>
      <c r="M112" t="s">
        <v>22</v>
      </c>
      <c r="N112">
        <f>sales_data_1[[#This Row],[Unit_Price]]-sales_data_1[[#This Row],[Unit_Cost]]</f>
        <v>467.45000000000005</v>
      </c>
      <c r="O112">
        <f>sales_data_1[[#This Row],[Unit_Price]]*sales_data_1[[#This Row],[Quantity_Sold]]</f>
        <v>30299.61</v>
      </c>
      <c r="P112">
        <f>sales_data_1[[#This Row],[Unit - cost]]*sales_data_1[[#This Row],[Quantity_Sold]]</f>
        <v>15425.850000000002</v>
      </c>
    </row>
    <row r="113" spans="1:16" x14ac:dyDescent="0.3">
      <c r="A113">
        <v>1088</v>
      </c>
      <c r="B113" s="1">
        <v>45196</v>
      </c>
      <c r="C113" t="s">
        <v>37</v>
      </c>
      <c r="D113" t="s">
        <v>14</v>
      </c>
      <c r="E113">
        <v>12</v>
      </c>
      <c r="F113" t="s">
        <v>28</v>
      </c>
      <c r="G113">
        <v>4389.24</v>
      </c>
      <c r="H113">
        <v>4856.2199999999993</v>
      </c>
      <c r="I113" t="s">
        <v>16</v>
      </c>
      <c r="J113">
        <v>0.15</v>
      </c>
      <c r="K113" t="s">
        <v>17</v>
      </c>
      <c r="L113" t="s">
        <v>21</v>
      </c>
      <c r="M113" t="s">
        <v>39</v>
      </c>
      <c r="N113">
        <f>sales_data_1[[#This Row],[Unit_Price]]-sales_data_1[[#This Row],[Unit_Cost]]</f>
        <v>466.97999999999956</v>
      </c>
      <c r="O113">
        <f>sales_data_1[[#This Row],[Unit_Price]]*sales_data_1[[#This Row],[Quantity_Sold]]</f>
        <v>58274.639999999992</v>
      </c>
      <c r="P113">
        <f>sales_data_1[[#This Row],[Unit - cost]]*sales_data_1[[#This Row],[Quantity_Sold]]</f>
        <v>5603.7599999999948</v>
      </c>
    </row>
    <row r="114" spans="1:16" x14ac:dyDescent="0.3">
      <c r="A114">
        <v>1001</v>
      </c>
      <c r="B114" s="1">
        <v>45242</v>
      </c>
      <c r="C114" t="s">
        <v>41</v>
      </c>
      <c r="D114" t="s">
        <v>14</v>
      </c>
      <c r="E114">
        <v>8</v>
      </c>
      <c r="F114" t="s">
        <v>34</v>
      </c>
      <c r="G114">
        <v>3657.91</v>
      </c>
      <c r="H114">
        <v>3729.27</v>
      </c>
      <c r="I114" t="s">
        <v>29</v>
      </c>
      <c r="J114">
        <v>0.09</v>
      </c>
      <c r="K114" t="s">
        <v>26</v>
      </c>
      <c r="L114" t="s">
        <v>21</v>
      </c>
      <c r="M114" t="s">
        <v>48</v>
      </c>
      <c r="N114">
        <f>sales_data_1[[#This Row],[Unit_Price]]-sales_data_1[[#This Row],[Unit_Cost]]</f>
        <v>71.360000000000127</v>
      </c>
      <c r="O114">
        <f>sales_data_1[[#This Row],[Unit_Price]]*sales_data_1[[#This Row],[Quantity_Sold]]</f>
        <v>29834.16</v>
      </c>
      <c r="P114">
        <f>sales_data_1[[#This Row],[Unit - cost]]*sales_data_1[[#This Row],[Quantity_Sold]]</f>
        <v>570.88000000000102</v>
      </c>
    </row>
    <row r="115" spans="1:16" x14ac:dyDescent="0.3">
      <c r="A115">
        <v>1008</v>
      </c>
      <c r="B115" s="1">
        <v>45212</v>
      </c>
      <c r="C115" t="s">
        <v>37</v>
      </c>
      <c r="D115" t="s">
        <v>20</v>
      </c>
      <c r="E115">
        <v>24</v>
      </c>
      <c r="F115" t="s">
        <v>34</v>
      </c>
      <c r="G115">
        <v>1542.24</v>
      </c>
      <c r="H115">
        <v>1739.45</v>
      </c>
      <c r="I115" t="s">
        <v>16</v>
      </c>
      <c r="J115">
        <v>0.21</v>
      </c>
      <c r="K115" t="s">
        <v>26</v>
      </c>
      <c r="L115" t="s">
        <v>21</v>
      </c>
      <c r="M115" t="s">
        <v>40</v>
      </c>
      <c r="N115">
        <f>sales_data_1[[#This Row],[Unit_Price]]-sales_data_1[[#This Row],[Unit_Cost]]</f>
        <v>197.21000000000004</v>
      </c>
      <c r="O115">
        <f>sales_data_1[[#This Row],[Unit_Price]]*sales_data_1[[#This Row],[Quantity_Sold]]</f>
        <v>41746.800000000003</v>
      </c>
      <c r="P115">
        <f>sales_data_1[[#This Row],[Unit - cost]]*sales_data_1[[#This Row],[Quantity_Sold]]</f>
        <v>4733.0400000000009</v>
      </c>
    </row>
    <row r="116" spans="1:16" x14ac:dyDescent="0.3">
      <c r="A116">
        <v>1088</v>
      </c>
      <c r="B116" s="1">
        <v>45217</v>
      </c>
      <c r="C116" t="s">
        <v>37</v>
      </c>
      <c r="D116" t="s">
        <v>20</v>
      </c>
      <c r="E116">
        <v>16</v>
      </c>
      <c r="F116" t="s">
        <v>15</v>
      </c>
      <c r="G116">
        <v>3016.9</v>
      </c>
      <c r="H116">
        <v>3040.73</v>
      </c>
      <c r="I116" t="s">
        <v>29</v>
      </c>
      <c r="J116">
        <v>0.26</v>
      </c>
      <c r="K116" t="s">
        <v>26</v>
      </c>
      <c r="L116" t="s">
        <v>21</v>
      </c>
      <c r="M116" t="s">
        <v>40</v>
      </c>
      <c r="N116">
        <f>sales_data_1[[#This Row],[Unit_Price]]-sales_data_1[[#This Row],[Unit_Cost]]</f>
        <v>23.829999999999927</v>
      </c>
      <c r="O116">
        <f>sales_data_1[[#This Row],[Unit_Price]]*sales_data_1[[#This Row],[Quantity_Sold]]</f>
        <v>48651.68</v>
      </c>
      <c r="P116">
        <f>sales_data_1[[#This Row],[Unit - cost]]*sales_data_1[[#This Row],[Quantity_Sold]]</f>
        <v>381.27999999999884</v>
      </c>
    </row>
    <row r="117" spans="1:16" x14ac:dyDescent="0.3">
      <c r="A117">
        <v>1063</v>
      </c>
      <c r="B117" s="1">
        <v>45139</v>
      </c>
      <c r="C117" t="s">
        <v>13</v>
      </c>
      <c r="D117" t="s">
        <v>24</v>
      </c>
      <c r="E117">
        <v>4</v>
      </c>
      <c r="F117" t="s">
        <v>34</v>
      </c>
      <c r="G117">
        <v>1046.26</v>
      </c>
      <c r="H117">
        <v>1475.29</v>
      </c>
      <c r="I117" t="s">
        <v>16</v>
      </c>
      <c r="J117">
        <v>0.09</v>
      </c>
      <c r="K117" t="s">
        <v>26</v>
      </c>
      <c r="L117" t="s">
        <v>21</v>
      </c>
      <c r="M117" t="s">
        <v>31</v>
      </c>
      <c r="N117">
        <f>sales_data_1[[#This Row],[Unit_Price]]-sales_data_1[[#This Row],[Unit_Cost]]</f>
        <v>429.03</v>
      </c>
      <c r="O117">
        <f>sales_data_1[[#This Row],[Unit_Price]]*sales_data_1[[#This Row],[Quantity_Sold]]</f>
        <v>5901.16</v>
      </c>
      <c r="P117">
        <f>sales_data_1[[#This Row],[Unit - cost]]*sales_data_1[[#This Row],[Quantity_Sold]]</f>
        <v>1716.12</v>
      </c>
    </row>
    <row r="118" spans="1:16" x14ac:dyDescent="0.3">
      <c r="A118">
        <v>1011</v>
      </c>
      <c r="B118" s="1">
        <v>45091</v>
      </c>
      <c r="C118" t="s">
        <v>41</v>
      </c>
      <c r="D118" t="s">
        <v>24</v>
      </c>
      <c r="E118">
        <v>38</v>
      </c>
      <c r="F118" t="s">
        <v>15</v>
      </c>
      <c r="G118">
        <v>4456.67</v>
      </c>
      <c r="H118">
        <v>4642.46</v>
      </c>
      <c r="I118" t="s">
        <v>29</v>
      </c>
      <c r="J118">
        <v>0.06</v>
      </c>
      <c r="K118" t="s">
        <v>26</v>
      </c>
      <c r="L118" t="s">
        <v>18</v>
      </c>
      <c r="M118" t="s">
        <v>42</v>
      </c>
      <c r="N118">
        <f>sales_data_1[[#This Row],[Unit_Price]]-sales_data_1[[#This Row],[Unit_Cost]]</f>
        <v>185.78999999999996</v>
      </c>
      <c r="O118">
        <f>sales_data_1[[#This Row],[Unit_Price]]*sales_data_1[[#This Row],[Quantity_Sold]]</f>
        <v>176413.48</v>
      </c>
      <c r="P118">
        <f>sales_data_1[[#This Row],[Unit - cost]]*sales_data_1[[#This Row],[Quantity_Sold]]</f>
        <v>7060.0199999999986</v>
      </c>
    </row>
    <row r="119" spans="1:16" x14ac:dyDescent="0.3">
      <c r="A119">
        <v>1081</v>
      </c>
      <c r="B119" s="1">
        <v>44931</v>
      </c>
      <c r="C119" t="s">
        <v>13</v>
      </c>
      <c r="D119" t="s">
        <v>24</v>
      </c>
      <c r="E119">
        <v>44</v>
      </c>
      <c r="F119" t="s">
        <v>25</v>
      </c>
      <c r="G119">
        <v>618.79</v>
      </c>
      <c r="H119">
        <v>938.04</v>
      </c>
      <c r="I119" t="s">
        <v>16</v>
      </c>
      <c r="J119">
        <v>0.03</v>
      </c>
      <c r="K119" t="s">
        <v>17</v>
      </c>
      <c r="L119" t="s">
        <v>18</v>
      </c>
      <c r="M119" t="s">
        <v>31</v>
      </c>
      <c r="N119">
        <f>sales_data_1[[#This Row],[Unit_Price]]-sales_data_1[[#This Row],[Unit_Cost]]</f>
        <v>319.25</v>
      </c>
      <c r="O119">
        <f>sales_data_1[[#This Row],[Unit_Price]]*sales_data_1[[#This Row],[Quantity_Sold]]</f>
        <v>41273.759999999995</v>
      </c>
      <c r="P119">
        <f>sales_data_1[[#This Row],[Unit - cost]]*sales_data_1[[#This Row],[Quantity_Sold]]</f>
        <v>14047</v>
      </c>
    </row>
    <row r="120" spans="1:16" x14ac:dyDescent="0.3">
      <c r="A120">
        <v>1008</v>
      </c>
      <c r="B120" s="1">
        <v>45265</v>
      </c>
      <c r="C120" t="s">
        <v>32</v>
      </c>
      <c r="D120" t="s">
        <v>33</v>
      </c>
      <c r="E120">
        <v>27</v>
      </c>
      <c r="F120" t="s">
        <v>34</v>
      </c>
      <c r="G120">
        <v>68.989999999999995</v>
      </c>
      <c r="H120">
        <v>429.29</v>
      </c>
      <c r="I120" t="s">
        <v>16</v>
      </c>
      <c r="J120">
        <v>0.18</v>
      </c>
      <c r="K120" t="s">
        <v>30</v>
      </c>
      <c r="L120" t="s">
        <v>21</v>
      </c>
      <c r="M120" t="s">
        <v>35</v>
      </c>
      <c r="N120">
        <f>sales_data_1[[#This Row],[Unit_Price]]-sales_data_1[[#This Row],[Unit_Cost]]</f>
        <v>360.3</v>
      </c>
      <c r="O120">
        <f>sales_data_1[[#This Row],[Unit_Price]]*sales_data_1[[#This Row],[Quantity_Sold]]</f>
        <v>11590.83</v>
      </c>
      <c r="P120">
        <f>sales_data_1[[#This Row],[Unit - cost]]*sales_data_1[[#This Row],[Quantity_Sold]]</f>
        <v>9728.1</v>
      </c>
    </row>
    <row r="121" spans="1:16" x14ac:dyDescent="0.3">
      <c r="A121">
        <v>1035</v>
      </c>
      <c r="B121" s="1">
        <v>45004</v>
      </c>
      <c r="C121" t="s">
        <v>13</v>
      </c>
      <c r="D121" t="s">
        <v>24</v>
      </c>
      <c r="E121">
        <v>9</v>
      </c>
      <c r="F121" t="s">
        <v>28</v>
      </c>
      <c r="G121">
        <v>2534.94</v>
      </c>
      <c r="H121">
        <v>2755.56</v>
      </c>
      <c r="I121" t="s">
        <v>16</v>
      </c>
      <c r="J121">
        <v>0.13</v>
      </c>
      <c r="K121" t="s">
        <v>30</v>
      </c>
      <c r="L121" t="s">
        <v>21</v>
      </c>
      <c r="M121" t="s">
        <v>31</v>
      </c>
      <c r="N121">
        <f>sales_data_1[[#This Row],[Unit_Price]]-sales_data_1[[#This Row],[Unit_Cost]]</f>
        <v>220.61999999999989</v>
      </c>
      <c r="O121">
        <f>sales_data_1[[#This Row],[Unit_Price]]*sales_data_1[[#This Row],[Quantity_Sold]]</f>
        <v>24800.04</v>
      </c>
      <c r="P121">
        <f>sales_data_1[[#This Row],[Unit - cost]]*sales_data_1[[#This Row],[Quantity_Sold]]</f>
        <v>1985.579999999999</v>
      </c>
    </row>
    <row r="122" spans="1:16" x14ac:dyDescent="0.3">
      <c r="A122">
        <v>1035</v>
      </c>
      <c r="B122" s="1">
        <v>44988</v>
      </c>
      <c r="C122" t="s">
        <v>13</v>
      </c>
      <c r="D122" t="s">
        <v>20</v>
      </c>
      <c r="E122">
        <v>47</v>
      </c>
      <c r="F122" t="s">
        <v>34</v>
      </c>
      <c r="G122">
        <v>2936.48</v>
      </c>
      <c r="H122">
        <v>3096.64</v>
      </c>
      <c r="I122" t="s">
        <v>29</v>
      </c>
      <c r="J122">
        <v>0.06</v>
      </c>
      <c r="K122" t="s">
        <v>26</v>
      </c>
      <c r="L122" t="s">
        <v>18</v>
      </c>
      <c r="M122" t="s">
        <v>22</v>
      </c>
      <c r="N122">
        <f>sales_data_1[[#This Row],[Unit_Price]]-sales_data_1[[#This Row],[Unit_Cost]]</f>
        <v>160.15999999999985</v>
      </c>
      <c r="O122">
        <f>sales_data_1[[#This Row],[Unit_Price]]*sales_data_1[[#This Row],[Quantity_Sold]]</f>
        <v>145542.07999999999</v>
      </c>
      <c r="P122">
        <f>sales_data_1[[#This Row],[Unit - cost]]*sales_data_1[[#This Row],[Quantity_Sold]]</f>
        <v>7527.5199999999932</v>
      </c>
    </row>
    <row r="123" spans="1:16" x14ac:dyDescent="0.3">
      <c r="A123">
        <v>1033</v>
      </c>
      <c r="B123" s="1">
        <v>45058</v>
      </c>
      <c r="C123" t="s">
        <v>13</v>
      </c>
      <c r="D123" t="s">
        <v>14</v>
      </c>
      <c r="E123">
        <v>16</v>
      </c>
      <c r="F123" t="s">
        <v>15</v>
      </c>
      <c r="G123">
        <v>2915.88</v>
      </c>
      <c r="H123">
        <v>3397.36</v>
      </c>
      <c r="I123" t="s">
        <v>29</v>
      </c>
      <c r="J123">
        <v>0.2</v>
      </c>
      <c r="K123" t="s">
        <v>26</v>
      </c>
      <c r="L123" t="s">
        <v>21</v>
      </c>
      <c r="M123" t="s">
        <v>19</v>
      </c>
      <c r="N123">
        <f>sales_data_1[[#This Row],[Unit_Price]]-sales_data_1[[#This Row],[Unit_Cost]]</f>
        <v>481.48</v>
      </c>
      <c r="O123">
        <f>sales_data_1[[#This Row],[Unit_Price]]*sales_data_1[[#This Row],[Quantity_Sold]]</f>
        <v>54357.760000000002</v>
      </c>
      <c r="P123">
        <f>sales_data_1[[#This Row],[Unit - cost]]*sales_data_1[[#This Row],[Quantity_Sold]]</f>
        <v>7703.68</v>
      </c>
    </row>
    <row r="124" spans="1:16" x14ac:dyDescent="0.3">
      <c r="A124">
        <v>1005</v>
      </c>
      <c r="B124" s="1">
        <v>45015</v>
      </c>
      <c r="C124" t="s">
        <v>41</v>
      </c>
      <c r="D124" t="s">
        <v>33</v>
      </c>
      <c r="E124">
        <v>12</v>
      </c>
      <c r="F124" t="s">
        <v>34</v>
      </c>
      <c r="G124">
        <v>319.83</v>
      </c>
      <c r="H124">
        <v>802.43000000000006</v>
      </c>
      <c r="I124" t="s">
        <v>29</v>
      </c>
      <c r="J124">
        <v>0.04</v>
      </c>
      <c r="K124" t="s">
        <v>30</v>
      </c>
      <c r="L124" t="s">
        <v>21</v>
      </c>
      <c r="M124" t="s">
        <v>51</v>
      </c>
      <c r="N124">
        <f>sales_data_1[[#This Row],[Unit_Price]]-sales_data_1[[#This Row],[Unit_Cost]]</f>
        <v>482.60000000000008</v>
      </c>
      <c r="O124">
        <f>sales_data_1[[#This Row],[Unit_Price]]*sales_data_1[[#This Row],[Quantity_Sold]]</f>
        <v>9629.16</v>
      </c>
      <c r="P124">
        <f>sales_data_1[[#This Row],[Unit - cost]]*sales_data_1[[#This Row],[Quantity_Sold]]</f>
        <v>5791.2000000000007</v>
      </c>
    </row>
    <row r="125" spans="1:16" x14ac:dyDescent="0.3">
      <c r="A125">
        <v>1041</v>
      </c>
      <c r="B125" s="1">
        <v>45163</v>
      </c>
      <c r="C125" t="s">
        <v>13</v>
      </c>
      <c r="D125" t="s">
        <v>24</v>
      </c>
      <c r="E125">
        <v>31</v>
      </c>
      <c r="F125" t="s">
        <v>25</v>
      </c>
      <c r="G125">
        <v>1604.52</v>
      </c>
      <c r="H125">
        <v>1756.34</v>
      </c>
      <c r="I125" t="s">
        <v>16</v>
      </c>
      <c r="J125">
        <v>0.17</v>
      </c>
      <c r="K125" t="s">
        <v>17</v>
      </c>
      <c r="L125" t="s">
        <v>21</v>
      </c>
      <c r="M125" t="s">
        <v>31</v>
      </c>
      <c r="N125">
        <f>sales_data_1[[#This Row],[Unit_Price]]-sales_data_1[[#This Row],[Unit_Cost]]</f>
        <v>151.81999999999994</v>
      </c>
      <c r="O125">
        <f>sales_data_1[[#This Row],[Unit_Price]]*sales_data_1[[#This Row],[Quantity_Sold]]</f>
        <v>54446.54</v>
      </c>
      <c r="P125">
        <f>sales_data_1[[#This Row],[Unit - cost]]*sales_data_1[[#This Row],[Quantity_Sold]]</f>
        <v>4706.4199999999983</v>
      </c>
    </row>
    <row r="126" spans="1:16" x14ac:dyDescent="0.3">
      <c r="A126">
        <v>1028</v>
      </c>
      <c r="B126" s="1">
        <v>44968</v>
      </c>
      <c r="C126" t="s">
        <v>41</v>
      </c>
      <c r="D126" t="s">
        <v>33</v>
      </c>
      <c r="E126">
        <v>24</v>
      </c>
      <c r="F126" t="s">
        <v>28</v>
      </c>
      <c r="G126">
        <v>2521.0300000000002</v>
      </c>
      <c r="H126">
        <v>2766.05</v>
      </c>
      <c r="I126" t="s">
        <v>16</v>
      </c>
      <c r="J126">
        <v>0.16</v>
      </c>
      <c r="K126" t="s">
        <v>26</v>
      </c>
      <c r="L126" t="s">
        <v>21</v>
      </c>
      <c r="M126" t="s">
        <v>51</v>
      </c>
      <c r="N126">
        <f>sales_data_1[[#This Row],[Unit_Price]]-sales_data_1[[#This Row],[Unit_Cost]]</f>
        <v>245.01999999999998</v>
      </c>
      <c r="O126">
        <f>sales_data_1[[#This Row],[Unit_Price]]*sales_data_1[[#This Row],[Quantity_Sold]]</f>
        <v>66385.200000000012</v>
      </c>
      <c r="P126">
        <f>sales_data_1[[#This Row],[Unit - cost]]*sales_data_1[[#This Row],[Quantity_Sold]]</f>
        <v>5880.48</v>
      </c>
    </row>
    <row r="127" spans="1:16" x14ac:dyDescent="0.3">
      <c r="A127">
        <v>1007</v>
      </c>
      <c r="B127" s="1">
        <v>45015</v>
      </c>
      <c r="C127" t="s">
        <v>23</v>
      </c>
      <c r="D127" t="s">
        <v>33</v>
      </c>
      <c r="E127">
        <v>14</v>
      </c>
      <c r="F127" t="s">
        <v>15</v>
      </c>
      <c r="G127">
        <v>1122.07</v>
      </c>
      <c r="H127">
        <v>1608.76</v>
      </c>
      <c r="I127" t="s">
        <v>29</v>
      </c>
      <c r="J127">
        <v>0.22</v>
      </c>
      <c r="K127" t="s">
        <v>17</v>
      </c>
      <c r="L127" t="s">
        <v>21</v>
      </c>
      <c r="M127" t="s">
        <v>49</v>
      </c>
      <c r="N127">
        <f>sales_data_1[[#This Row],[Unit_Price]]-sales_data_1[[#This Row],[Unit_Cost]]</f>
        <v>486.69000000000005</v>
      </c>
      <c r="O127">
        <f>sales_data_1[[#This Row],[Unit_Price]]*sales_data_1[[#This Row],[Quantity_Sold]]</f>
        <v>22522.639999999999</v>
      </c>
      <c r="P127">
        <f>sales_data_1[[#This Row],[Unit - cost]]*sales_data_1[[#This Row],[Quantity_Sold]]</f>
        <v>6813.6600000000008</v>
      </c>
    </row>
    <row r="128" spans="1:16" x14ac:dyDescent="0.3">
      <c r="A128">
        <v>1073</v>
      </c>
      <c r="B128" s="1">
        <v>45222</v>
      </c>
      <c r="C128" t="s">
        <v>32</v>
      </c>
      <c r="D128" t="s">
        <v>24</v>
      </c>
      <c r="E128">
        <v>45</v>
      </c>
      <c r="F128" t="s">
        <v>28</v>
      </c>
      <c r="G128">
        <v>4369.5</v>
      </c>
      <c r="H128">
        <v>4381.8900000000003</v>
      </c>
      <c r="I128" t="s">
        <v>16</v>
      </c>
      <c r="J128">
        <v>0.02</v>
      </c>
      <c r="K128" t="s">
        <v>30</v>
      </c>
      <c r="L128" t="s">
        <v>21</v>
      </c>
      <c r="M128" t="s">
        <v>43</v>
      </c>
      <c r="N128">
        <f>sales_data_1[[#This Row],[Unit_Price]]-sales_data_1[[#This Row],[Unit_Cost]]</f>
        <v>12.390000000000327</v>
      </c>
      <c r="O128">
        <f>sales_data_1[[#This Row],[Unit_Price]]*sales_data_1[[#This Row],[Quantity_Sold]]</f>
        <v>197185.05000000002</v>
      </c>
      <c r="P128">
        <f>sales_data_1[[#This Row],[Unit - cost]]*sales_data_1[[#This Row],[Quantity_Sold]]</f>
        <v>557.55000000001473</v>
      </c>
    </row>
    <row r="129" spans="1:16" x14ac:dyDescent="0.3">
      <c r="A129">
        <v>1072</v>
      </c>
      <c r="B129" s="1">
        <v>45254</v>
      </c>
      <c r="C129" t="s">
        <v>41</v>
      </c>
      <c r="D129" t="s">
        <v>33</v>
      </c>
      <c r="E129">
        <v>25</v>
      </c>
      <c r="F129" t="s">
        <v>28</v>
      </c>
      <c r="G129">
        <v>481.19</v>
      </c>
      <c r="H129">
        <v>693.4</v>
      </c>
      <c r="I129" t="s">
        <v>29</v>
      </c>
      <c r="J129">
        <v>0.27</v>
      </c>
      <c r="K129" t="s">
        <v>30</v>
      </c>
      <c r="L129" t="s">
        <v>21</v>
      </c>
      <c r="M129" t="s">
        <v>51</v>
      </c>
      <c r="N129">
        <f>sales_data_1[[#This Row],[Unit_Price]]-sales_data_1[[#This Row],[Unit_Cost]]</f>
        <v>212.20999999999998</v>
      </c>
      <c r="O129">
        <f>sales_data_1[[#This Row],[Unit_Price]]*sales_data_1[[#This Row],[Quantity_Sold]]</f>
        <v>17335</v>
      </c>
      <c r="P129">
        <f>sales_data_1[[#This Row],[Unit - cost]]*sales_data_1[[#This Row],[Quantity_Sold]]</f>
        <v>5305.2499999999991</v>
      </c>
    </row>
    <row r="130" spans="1:16" x14ac:dyDescent="0.3">
      <c r="A130">
        <v>1012</v>
      </c>
      <c r="B130" s="1">
        <v>45221</v>
      </c>
      <c r="C130" t="s">
        <v>23</v>
      </c>
      <c r="D130" t="s">
        <v>14</v>
      </c>
      <c r="E130">
        <v>34</v>
      </c>
      <c r="F130" t="s">
        <v>15</v>
      </c>
      <c r="G130">
        <v>2462.5500000000002</v>
      </c>
      <c r="H130">
        <v>2521.77</v>
      </c>
      <c r="I130" t="s">
        <v>29</v>
      </c>
      <c r="J130">
        <v>0.21</v>
      </c>
      <c r="K130" t="s">
        <v>26</v>
      </c>
      <c r="L130" t="s">
        <v>21</v>
      </c>
      <c r="M130" t="s">
        <v>44</v>
      </c>
      <c r="N130">
        <f>sales_data_1[[#This Row],[Unit_Price]]-sales_data_1[[#This Row],[Unit_Cost]]</f>
        <v>59.2199999999998</v>
      </c>
      <c r="O130">
        <f>sales_data_1[[#This Row],[Unit_Price]]*sales_data_1[[#This Row],[Quantity_Sold]]</f>
        <v>85740.18</v>
      </c>
      <c r="P130">
        <f>sales_data_1[[#This Row],[Unit - cost]]*sales_data_1[[#This Row],[Quantity_Sold]]</f>
        <v>2013.4799999999932</v>
      </c>
    </row>
    <row r="131" spans="1:16" x14ac:dyDescent="0.3">
      <c r="A131">
        <v>1034</v>
      </c>
      <c r="B131" s="1">
        <v>45030</v>
      </c>
      <c r="C131" t="s">
        <v>41</v>
      </c>
      <c r="D131" t="s">
        <v>20</v>
      </c>
      <c r="E131">
        <v>3</v>
      </c>
      <c r="F131" t="s">
        <v>28</v>
      </c>
      <c r="G131">
        <v>3472.51</v>
      </c>
      <c r="H131">
        <v>3732</v>
      </c>
      <c r="I131" t="s">
        <v>29</v>
      </c>
      <c r="J131">
        <v>0.06</v>
      </c>
      <c r="K131" t="s">
        <v>17</v>
      </c>
      <c r="L131" t="s">
        <v>18</v>
      </c>
      <c r="M131" t="s">
        <v>50</v>
      </c>
      <c r="N131">
        <f>sales_data_1[[#This Row],[Unit_Price]]-sales_data_1[[#This Row],[Unit_Cost]]</f>
        <v>259.48999999999978</v>
      </c>
      <c r="O131">
        <f>sales_data_1[[#This Row],[Unit_Price]]*sales_data_1[[#This Row],[Quantity_Sold]]</f>
        <v>11196</v>
      </c>
      <c r="P131">
        <f>sales_data_1[[#This Row],[Unit - cost]]*sales_data_1[[#This Row],[Quantity_Sold]]</f>
        <v>778.46999999999935</v>
      </c>
    </row>
    <row r="132" spans="1:16" x14ac:dyDescent="0.3">
      <c r="A132">
        <v>1033</v>
      </c>
      <c r="B132" s="1">
        <v>44940</v>
      </c>
      <c r="C132" t="s">
        <v>41</v>
      </c>
      <c r="D132" t="s">
        <v>20</v>
      </c>
      <c r="E132">
        <v>24</v>
      </c>
      <c r="F132" t="s">
        <v>28</v>
      </c>
      <c r="G132">
        <v>1345.67</v>
      </c>
      <c r="H132">
        <v>1367.76</v>
      </c>
      <c r="I132" t="s">
        <v>29</v>
      </c>
      <c r="J132">
        <v>0.06</v>
      </c>
      <c r="K132" t="s">
        <v>26</v>
      </c>
      <c r="L132" t="s">
        <v>18</v>
      </c>
      <c r="M132" t="s">
        <v>50</v>
      </c>
      <c r="N132">
        <f>sales_data_1[[#This Row],[Unit_Price]]-sales_data_1[[#This Row],[Unit_Cost]]</f>
        <v>22.089999999999918</v>
      </c>
      <c r="O132">
        <f>sales_data_1[[#This Row],[Unit_Price]]*sales_data_1[[#This Row],[Quantity_Sold]]</f>
        <v>32826.239999999998</v>
      </c>
      <c r="P132">
        <f>sales_data_1[[#This Row],[Unit - cost]]*sales_data_1[[#This Row],[Quantity_Sold]]</f>
        <v>530.15999999999804</v>
      </c>
    </row>
    <row r="133" spans="1:16" x14ac:dyDescent="0.3">
      <c r="A133">
        <v>1048</v>
      </c>
      <c r="B133" s="1">
        <v>45214</v>
      </c>
      <c r="C133" t="s">
        <v>32</v>
      </c>
      <c r="D133" t="s">
        <v>14</v>
      </c>
      <c r="E133">
        <v>42</v>
      </c>
      <c r="F133" t="s">
        <v>34</v>
      </c>
      <c r="G133">
        <v>3139.99</v>
      </c>
      <c r="H133">
        <v>3349.37</v>
      </c>
      <c r="I133" t="s">
        <v>16</v>
      </c>
      <c r="J133">
        <v>0.13</v>
      </c>
      <c r="K133" t="s">
        <v>30</v>
      </c>
      <c r="L133" t="s">
        <v>21</v>
      </c>
      <c r="M133" t="s">
        <v>52</v>
      </c>
      <c r="N133">
        <f>sales_data_1[[#This Row],[Unit_Price]]-sales_data_1[[#This Row],[Unit_Cost]]</f>
        <v>209.38000000000011</v>
      </c>
      <c r="O133">
        <f>sales_data_1[[#This Row],[Unit_Price]]*sales_data_1[[#This Row],[Quantity_Sold]]</f>
        <v>140673.54</v>
      </c>
      <c r="P133">
        <f>sales_data_1[[#This Row],[Unit - cost]]*sales_data_1[[#This Row],[Quantity_Sold]]</f>
        <v>8793.9600000000046</v>
      </c>
    </row>
    <row r="134" spans="1:16" x14ac:dyDescent="0.3">
      <c r="A134">
        <v>1023</v>
      </c>
      <c r="B134" s="1">
        <v>45105</v>
      </c>
      <c r="C134" t="s">
        <v>37</v>
      </c>
      <c r="D134" t="s">
        <v>33</v>
      </c>
      <c r="E134">
        <v>9</v>
      </c>
      <c r="F134" t="s">
        <v>28</v>
      </c>
      <c r="G134">
        <v>4155.46</v>
      </c>
      <c r="H134">
        <v>4273.6000000000004</v>
      </c>
      <c r="I134" t="s">
        <v>16</v>
      </c>
      <c r="J134">
        <v>0.25</v>
      </c>
      <c r="K134" t="s">
        <v>17</v>
      </c>
      <c r="L134" t="s">
        <v>21</v>
      </c>
      <c r="M134" t="s">
        <v>47</v>
      </c>
      <c r="N134">
        <f>sales_data_1[[#This Row],[Unit_Price]]-sales_data_1[[#This Row],[Unit_Cost]]</f>
        <v>118.14000000000033</v>
      </c>
      <c r="O134">
        <f>sales_data_1[[#This Row],[Unit_Price]]*sales_data_1[[#This Row],[Quantity_Sold]]</f>
        <v>38462.400000000001</v>
      </c>
      <c r="P134">
        <f>sales_data_1[[#This Row],[Unit - cost]]*sales_data_1[[#This Row],[Quantity_Sold]]</f>
        <v>1063.2600000000029</v>
      </c>
    </row>
    <row r="135" spans="1:16" x14ac:dyDescent="0.3">
      <c r="A135">
        <v>1062</v>
      </c>
      <c r="B135" s="1">
        <v>45051</v>
      </c>
      <c r="C135" t="s">
        <v>37</v>
      </c>
      <c r="D135" t="s">
        <v>24</v>
      </c>
      <c r="E135">
        <v>26</v>
      </c>
      <c r="F135" t="s">
        <v>28</v>
      </c>
      <c r="G135">
        <v>992.17</v>
      </c>
      <c r="H135">
        <v>1263.49</v>
      </c>
      <c r="I135" t="s">
        <v>16</v>
      </c>
      <c r="J135">
        <v>0.25</v>
      </c>
      <c r="K135" t="s">
        <v>26</v>
      </c>
      <c r="L135" t="s">
        <v>21</v>
      </c>
      <c r="M135" t="s">
        <v>38</v>
      </c>
      <c r="N135">
        <f>sales_data_1[[#This Row],[Unit_Price]]-sales_data_1[[#This Row],[Unit_Cost]]</f>
        <v>271.32000000000005</v>
      </c>
      <c r="O135">
        <f>sales_data_1[[#This Row],[Unit_Price]]*sales_data_1[[#This Row],[Quantity_Sold]]</f>
        <v>32850.74</v>
      </c>
      <c r="P135">
        <f>sales_data_1[[#This Row],[Unit - cost]]*sales_data_1[[#This Row],[Quantity_Sold]]</f>
        <v>7054.3200000000015</v>
      </c>
    </row>
    <row r="136" spans="1:16" x14ac:dyDescent="0.3">
      <c r="A136">
        <v>1088</v>
      </c>
      <c r="B136" s="1">
        <v>45279</v>
      </c>
      <c r="C136" t="s">
        <v>41</v>
      </c>
      <c r="D136" t="s">
        <v>33</v>
      </c>
      <c r="E136">
        <v>20</v>
      </c>
      <c r="F136" t="s">
        <v>28</v>
      </c>
      <c r="G136">
        <v>4590.24</v>
      </c>
      <c r="H136">
        <v>5088.28</v>
      </c>
      <c r="I136" t="s">
        <v>29</v>
      </c>
      <c r="J136">
        <v>0.16</v>
      </c>
      <c r="K136" t="s">
        <v>26</v>
      </c>
      <c r="L136" t="s">
        <v>21</v>
      </c>
      <c r="M136" t="s">
        <v>51</v>
      </c>
      <c r="N136">
        <f>sales_data_1[[#This Row],[Unit_Price]]-sales_data_1[[#This Row],[Unit_Cost]]</f>
        <v>498.03999999999996</v>
      </c>
      <c r="O136">
        <f>sales_data_1[[#This Row],[Unit_Price]]*sales_data_1[[#This Row],[Quantity_Sold]]</f>
        <v>101765.59999999999</v>
      </c>
      <c r="P136">
        <f>sales_data_1[[#This Row],[Unit - cost]]*sales_data_1[[#This Row],[Quantity_Sold]]</f>
        <v>9960.7999999999993</v>
      </c>
    </row>
    <row r="137" spans="1:16" x14ac:dyDescent="0.3">
      <c r="A137">
        <v>1037</v>
      </c>
      <c r="B137" s="1">
        <v>44949</v>
      </c>
      <c r="C137" t="s">
        <v>13</v>
      </c>
      <c r="D137" t="s">
        <v>14</v>
      </c>
      <c r="E137">
        <v>40</v>
      </c>
      <c r="F137" t="s">
        <v>28</v>
      </c>
      <c r="G137">
        <v>2790.11</v>
      </c>
      <c r="H137">
        <v>3192.37</v>
      </c>
      <c r="I137" t="s">
        <v>16</v>
      </c>
      <c r="J137">
        <v>0.26</v>
      </c>
      <c r="K137" t="s">
        <v>26</v>
      </c>
      <c r="L137" t="s">
        <v>18</v>
      </c>
      <c r="M137" t="s">
        <v>19</v>
      </c>
      <c r="N137">
        <f>sales_data_1[[#This Row],[Unit_Price]]-sales_data_1[[#This Row],[Unit_Cost]]</f>
        <v>402.25999999999976</v>
      </c>
      <c r="O137">
        <f>sales_data_1[[#This Row],[Unit_Price]]*sales_data_1[[#This Row],[Quantity_Sold]]</f>
        <v>127694.79999999999</v>
      </c>
      <c r="P137">
        <f>sales_data_1[[#This Row],[Unit - cost]]*sales_data_1[[#This Row],[Quantity_Sold]]</f>
        <v>16090.399999999991</v>
      </c>
    </row>
    <row r="138" spans="1:16" x14ac:dyDescent="0.3">
      <c r="A138">
        <v>1099</v>
      </c>
      <c r="B138" s="1">
        <v>44989</v>
      </c>
      <c r="C138" t="s">
        <v>23</v>
      </c>
      <c r="D138" t="s">
        <v>33</v>
      </c>
      <c r="E138">
        <v>10</v>
      </c>
      <c r="F138" t="s">
        <v>15</v>
      </c>
      <c r="G138">
        <v>1531.2</v>
      </c>
      <c r="H138">
        <v>1955.56</v>
      </c>
      <c r="I138" t="s">
        <v>29</v>
      </c>
      <c r="J138">
        <v>0</v>
      </c>
      <c r="K138" t="s">
        <v>30</v>
      </c>
      <c r="L138" t="s">
        <v>18</v>
      </c>
      <c r="M138" t="s">
        <v>49</v>
      </c>
      <c r="N138">
        <f>sales_data_1[[#This Row],[Unit_Price]]-sales_data_1[[#This Row],[Unit_Cost]]</f>
        <v>424.3599999999999</v>
      </c>
      <c r="O138">
        <f>sales_data_1[[#This Row],[Unit_Price]]*sales_data_1[[#This Row],[Quantity_Sold]]</f>
        <v>19555.599999999999</v>
      </c>
      <c r="P138">
        <f>sales_data_1[[#This Row],[Unit - cost]]*sales_data_1[[#This Row],[Quantity_Sold]]</f>
        <v>4243.5999999999985</v>
      </c>
    </row>
    <row r="139" spans="1:16" x14ac:dyDescent="0.3">
      <c r="A139">
        <v>1044</v>
      </c>
      <c r="B139" s="1">
        <v>45069</v>
      </c>
      <c r="C139" t="s">
        <v>13</v>
      </c>
      <c r="D139" t="s">
        <v>20</v>
      </c>
      <c r="E139">
        <v>19</v>
      </c>
      <c r="F139" t="s">
        <v>25</v>
      </c>
      <c r="G139">
        <v>2182.75</v>
      </c>
      <c r="H139">
        <v>2504.0299999999997</v>
      </c>
      <c r="I139" t="s">
        <v>29</v>
      </c>
      <c r="J139">
        <v>0.01</v>
      </c>
      <c r="K139" t="s">
        <v>26</v>
      </c>
      <c r="L139" t="s">
        <v>18</v>
      </c>
      <c r="M139" t="s">
        <v>22</v>
      </c>
      <c r="N139">
        <f>sales_data_1[[#This Row],[Unit_Price]]-sales_data_1[[#This Row],[Unit_Cost]]</f>
        <v>321.27999999999975</v>
      </c>
      <c r="O139">
        <f>sales_data_1[[#This Row],[Unit_Price]]*sales_data_1[[#This Row],[Quantity_Sold]]</f>
        <v>47576.569999999992</v>
      </c>
      <c r="P139">
        <f>sales_data_1[[#This Row],[Unit - cost]]*sales_data_1[[#This Row],[Quantity_Sold]]</f>
        <v>6104.3199999999952</v>
      </c>
    </row>
    <row r="140" spans="1:16" x14ac:dyDescent="0.3">
      <c r="A140">
        <v>1086</v>
      </c>
      <c r="B140" s="1">
        <v>45079</v>
      </c>
      <c r="C140" t="s">
        <v>13</v>
      </c>
      <c r="D140" t="s">
        <v>33</v>
      </c>
      <c r="E140">
        <v>3</v>
      </c>
      <c r="F140" t="s">
        <v>34</v>
      </c>
      <c r="G140">
        <v>1595.35</v>
      </c>
      <c r="H140">
        <v>1625.7099999999998</v>
      </c>
      <c r="I140" t="s">
        <v>29</v>
      </c>
      <c r="J140">
        <v>0.27</v>
      </c>
      <c r="K140" t="s">
        <v>17</v>
      </c>
      <c r="L140" t="s">
        <v>18</v>
      </c>
      <c r="M140" t="s">
        <v>45</v>
      </c>
      <c r="N140">
        <f>sales_data_1[[#This Row],[Unit_Price]]-sales_data_1[[#This Row],[Unit_Cost]]</f>
        <v>30.3599999999999</v>
      </c>
      <c r="O140">
        <f>sales_data_1[[#This Row],[Unit_Price]]*sales_data_1[[#This Row],[Quantity_Sold]]</f>
        <v>4877.1299999999992</v>
      </c>
      <c r="P140">
        <f>sales_data_1[[#This Row],[Unit - cost]]*sales_data_1[[#This Row],[Quantity_Sold]]</f>
        <v>91.0799999999997</v>
      </c>
    </row>
    <row r="141" spans="1:16" x14ac:dyDescent="0.3">
      <c r="A141">
        <v>1091</v>
      </c>
      <c r="B141" s="1">
        <v>45071</v>
      </c>
      <c r="C141" t="s">
        <v>41</v>
      </c>
      <c r="D141" t="s">
        <v>14</v>
      </c>
      <c r="E141">
        <v>24</v>
      </c>
      <c r="F141" t="s">
        <v>28</v>
      </c>
      <c r="G141">
        <v>3639.3</v>
      </c>
      <c r="H141">
        <v>3750.63</v>
      </c>
      <c r="I141" t="s">
        <v>29</v>
      </c>
      <c r="J141">
        <v>0.23</v>
      </c>
      <c r="K141" t="s">
        <v>26</v>
      </c>
      <c r="L141" t="s">
        <v>21</v>
      </c>
      <c r="M141" t="s">
        <v>48</v>
      </c>
      <c r="N141">
        <f>sales_data_1[[#This Row],[Unit_Price]]-sales_data_1[[#This Row],[Unit_Cost]]</f>
        <v>111.32999999999993</v>
      </c>
      <c r="O141">
        <f>sales_data_1[[#This Row],[Unit_Price]]*sales_data_1[[#This Row],[Quantity_Sold]]</f>
        <v>90015.12</v>
      </c>
      <c r="P141">
        <f>sales_data_1[[#This Row],[Unit - cost]]*sales_data_1[[#This Row],[Quantity_Sold]]</f>
        <v>2671.9199999999983</v>
      </c>
    </row>
    <row r="142" spans="1:16" x14ac:dyDescent="0.3">
      <c r="A142">
        <v>1035</v>
      </c>
      <c r="B142" s="1">
        <v>45151</v>
      </c>
      <c r="C142" t="s">
        <v>41</v>
      </c>
      <c r="D142" t="s">
        <v>20</v>
      </c>
      <c r="E142">
        <v>5</v>
      </c>
      <c r="F142" t="s">
        <v>28</v>
      </c>
      <c r="G142">
        <v>3991.69</v>
      </c>
      <c r="H142">
        <v>4454.97</v>
      </c>
      <c r="I142" t="s">
        <v>29</v>
      </c>
      <c r="J142">
        <v>0.14000000000000001</v>
      </c>
      <c r="K142" t="s">
        <v>30</v>
      </c>
      <c r="L142" t="s">
        <v>21</v>
      </c>
      <c r="M142" t="s">
        <v>50</v>
      </c>
      <c r="N142">
        <f>sales_data_1[[#This Row],[Unit_Price]]-sales_data_1[[#This Row],[Unit_Cost]]</f>
        <v>463.2800000000002</v>
      </c>
      <c r="O142">
        <f>sales_data_1[[#This Row],[Unit_Price]]*sales_data_1[[#This Row],[Quantity_Sold]]</f>
        <v>22274.850000000002</v>
      </c>
      <c r="P142">
        <f>sales_data_1[[#This Row],[Unit - cost]]*sales_data_1[[#This Row],[Quantity_Sold]]</f>
        <v>2316.400000000001</v>
      </c>
    </row>
    <row r="143" spans="1:16" x14ac:dyDescent="0.3">
      <c r="A143">
        <v>1065</v>
      </c>
      <c r="B143" s="1">
        <v>45235</v>
      </c>
      <c r="C143" t="s">
        <v>41</v>
      </c>
      <c r="D143" t="s">
        <v>33</v>
      </c>
      <c r="E143">
        <v>3</v>
      </c>
      <c r="F143" t="s">
        <v>15</v>
      </c>
      <c r="G143">
        <v>4173.04</v>
      </c>
      <c r="H143">
        <v>4362.4399999999996</v>
      </c>
      <c r="I143" t="s">
        <v>29</v>
      </c>
      <c r="J143">
        <v>0.23</v>
      </c>
      <c r="K143" t="s">
        <v>26</v>
      </c>
      <c r="L143" t="s">
        <v>21</v>
      </c>
      <c r="M143" t="s">
        <v>51</v>
      </c>
      <c r="N143">
        <f>sales_data_1[[#This Row],[Unit_Price]]-sales_data_1[[#This Row],[Unit_Cost]]</f>
        <v>189.39999999999964</v>
      </c>
      <c r="O143">
        <f>sales_data_1[[#This Row],[Unit_Price]]*sales_data_1[[#This Row],[Quantity_Sold]]</f>
        <v>13087.32</v>
      </c>
      <c r="P143">
        <f>sales_data_1[[#This Row],[Unit - cost]]*sales_data_1[[#This Row],[Quantity_Sold]]</f>
        <v>568.19999999999891</v>
      </c>
    </row>
    <row r="144" spans="1:16" x14ac:dyDescent="0.3">
      <c r="A144">
        <v>1099</v>
      </c>
      <c r="B144" s="1">
        <v>45030</v>
      </c>
      <c r="C144" t="s">
        <v>41</v>
      </c>
      <c r="D144" t="s">
        <v>33</v>
      </c>
      <c r="E144">
        <v>27</v>
      </c>
      <c r="F144" t="s">
        <v>25</v>
      </c>
      <c r="G144">
        <v>4929.55</v>
      </c>
      <c r="H144">
        <v>4990.33</v>
      </c>
      <c r="I144" t="s">
        <v>16</v>
      </c>
      <c r="J144">
        <v>0.28999999999999998</v>
      </c>
      <c r="K144" t="s">
        <v>30</v>
      </c>
      <c r="L144" t="s">
        <v>18</v>
      </c>
      <c r="M144" t="s">
        <v>51</v>
      </c>
      <c r="N144">
        <f>sales_data_1[[#This Row],[Unit_Price]]-sales_data_1[[#This Row],[Unit_Cost]]</f>
        <v>60.779999999999745</v>
      </c>
      <c r="O144">
        <f>sales_data_1[[#This Row],[Unit_Price]]*sales_data_1[[#This Row],[Quantity_Sold]]</f>
        <v>134738.91</v>
      </c>
      <c r="P144">
        <f>sales_data_1[[#This Row],[Unit - cost]]*sales_data_1[[#This Row],[Quantity_Sold]]</f>
        <v>1641.0599999999931</v>
      </c>
    </row>
    <row r="145" spans="1:16" x14ac:dyDescent="0.3">
      <c r="A145">
        <v>1047</v>
      </c>
      <c r="B145" s="1">
        <v>45030</v>
      </c>
      <c r="C145" t="s">
        <v>37</v>
      </c>
      <c r="D145" t="s">
        <v>20</v>
      </c>
      <c r="E145">
        <v>16</v>
      </c>
      <c r="F145" t="s">
        <v>28</v>
      </c>
      <c r="G145">
        <v>3966.86</v>
      </c>
      <c r="H145">
        <v>4321.04</v>
      </c>
      <c r="I145" t="s">
        <v>16</v>
      </c>
      <c r="J145">
        <v>0.23</v>
      </c>
      <c r="K145" t="s">
        <v>30</v>
      </c>
      <c r="L145" t="s">
        <v>21</v>
      </c>
      <c r="M145" t="s">
        <v>40</v>
      </c>
      <c r="N145">
        <f>sales_data_1[[#This Row],[Unit_Price]]-sales_data_1[[#This Row],[Unit_Cost]]</f>
        <v>354.17999999999984</v>
      </c>
      <c r="O145">
        <f>sales_data_1[[#This Row],[Unit_Price]]*sales_data_1[[#This Row],[Quantity_Sold]]</f>
        <v>69136.639999999999</v>
      </c>
      <c r="P145">
        <f>sales_data_1[[#This Row],[Unit - cost]]*sales_data_1[[#This Row],[Quantity_Sold]]</f>
        <v>5666.8799999999974</v>
      </c>
    </row>
    <row r="146" spans="1:16" x14ac:dyDescent="0.3">
      <c r="A146">
        <v>1078</v>
      </c>
      <c r="B146" s="1">
        <v>44965</v>
      </c>
      <c r="C146" t="s">
        <v>41</v>
      </c>
      <c r="D146" t="s">
        <v>24</v>
      </c>
      <c r="E146">
        <v>49</v>
      </c>
      <c r="F146" t="s">
        <v>15</v>
      </c>
      <c r="G146">
        <v>3026.85</v>
      </c>
      <c r="H146">
        <v>3183.58</v>
      </c>
      <c r="I146" t="s">
        <v>16</v>
      </c>
      <c r="J146">
        <v>0.25</v>
      </c>
      <c r="K146" t="s">
        <v>17</v>
      </c>
      <c r="L146" t="s">
        <v>21</v>
      </c>
      <c r="M146" t="s">
        <v>42</v>
      </c>
      <c r="N146">
        <f>sales_data_1[[#This Row],[Unit_Price]]-sales_data_1[[#This Row],[Unit_Cost]]</f>
        <v>156.73000000000002</v>
      </c>
      <c r="O146">
        <f>sales_data_1[[#This Row],[Unit_Price]]*sales_data_1[[#This Row],[Quantity_Sold]]</f>
        <v>155995.41999999998</v>
      </c>
      <c r="P146">
        <f>sales_data_1[[#This Row],[Unit - cost]]*sales_data_1[[#This Row],[Quantity_Sold]]</f>
        <v>7679.77</v>
      </c>
    </row>
    <row r="147" spans="1:16" x14ac:dyDescent="0.3">
      <c r="A147">
        <v>1003</v>
      </c>
      <c r="B147" s="1">
        <v>45124</v>
      </c>
      <c r="C147" t="s">
        <v>37</v>
      </c>
      <c r="D147" t="s">
        <v>20</v>
      </c>
      <c r="E147">
        <v>15</v>
      </c>
      <c r="F147" t="s">
        <v>34</v>
      </c>
      <c r="G147">
        <v>1729.14</v>
      </c>
      <c r="H147">
        <v>1870.88</v>
      </c>
      <c r="I147" t="s">
        <v>16</v>
      </c>
      <c r="J147">
        <v>0.23</v>
      </c>
      <c r="K147" t="s">
        <v>17</v>
      </c>
      <c r="L147" t="s">
        <v>18</v>
      </c>
      <c r="M147" t="s">
        <v>40</v>
      </c>
      <c r="N147">
        <f>sales_data_1[[#This Row],[Unit_Price]]-sales_data_1[[#This Row],[Unit_Cost]]</f>
        <v>141.74</v>
      </c>
      <c r="O147">
        <f>sales_data_1[[#This Row],[Unit_Price]]*sales_data_1[[#This Row],[Quantity_Sold]]</f>
        <v>28063.200000000001</v>
      </c>
      <c r="P147">
        <f>sales_data_1[[#This Row],[Unit - cost]]*sales_data_1[[#This Row],[Quantity_Sold]]</f>
        <v>2126.1000000000004</v>
      </c>
    </row>
    <row r="148" spans="1:16" x14ac:dyDescent="0.3">
      <c r="A148">
        <v>1001</v>
      </c>
      <c r="B148" s="1">
        <v>45060</v>
      </c>
      <c r="C148" t="s">
        <v>37</v>
      </c>
      <c r="D148" t="s">
        <v>24</v>
      </c>
      <c r="E148">
        <v>35</v>
      </c>
      <c r="F148" t="s">
        <v>34</v>
      </c>
      <c r="G148">
        <v>2745.75</v>
      </c>
      <c r="H148">
        <v>3244.76</v>
      </c>
      <c r="I148" t="s">
        <v>29</v>
      </c>
      <c r="J148">
        <v>0.05</v>
      </c>
      <c r="K148" t="s">
        <v>26</v>
      </c>
      <c r="L148" t="s">
        <v>18</v>
      </c>
      <c r="M148" t="s">
        <v>38</v>
      </c>
      <c r="N148">
        <f>sales_data_1[[#This Row],[Unit_Price]]-sales_data_1[[#This Row],[Unit_Cost]]</f>
        <v>499.01000000000022</v>
      </c>
      <c r="O148">
        <f>sales_data_1[[#This Row],[Unit_Price]]*sales_data_1[[#This Row],[Quantity_Sold]]</f>
        <v>113566.6</v>
      </c>
      <c r="P148">
        <f>sales_data_1[[#This Row],[Unit - cost]]*sales_data_1[[#This Row],[Quantity_Sold]]</f>
        <v>17465.350000000006</v>
      </c>
    </row>
    <row r="149" spans="1:16" x14ac:dyDescent="0.3">
      <c r="A149">
        <v>1005</v>
      </c>
      <c r="B149" s="1">
        <v>44993</v>
      </c>
      <c r="C149" t="s">
        <v>41</v>
      </c>
      <c r="D149" t="s">
        <v>14</v>
      </c>
      <c r="E149">
        <v>12</v>
      </c>
      <c r="F149" t="s">
        <v>28</v>
      </c>
      <c r="G149">
        <v>253.29</v>
      </c>
      <c r="H149">
        <v>683.78</v>
      </c>
      <c r="I149" t="s">
        <v>29</v>
      </c>
      <c r="J149">
        <v>0.25</v>
      </c>
      <c r="K149" t="s">
        <v>30</v>
      </c>
      <c r="L149" t="s">
        <v>18</v>
      </c>
      <c r="M149" t="s">
        <v>48</v>
      </c>
      <c r="N149">
        <f>sales_data_1[[#This Row],[Unit_Price]]-sales_data_1[[#This Row],[Unit_Cost]]</f>
        <v>430.49</v>
      </c>
      <c r="O149">
        <f>sales_data_1[[#This Row],[Unit_Price]]*sales_data_1[[#This Row],[Quantity_Sold]]</f>
        <v>8205.36</v>
      </c>
      <c r="P149">
        <f>sales_data_1[[#This Row],[Unit - cost]]*sales_data_1[[#This Row],[Quantity_Sold]]</f>
        <v>5165.88</v>
      </c>
    </row>
    <row r="150" spans="1:16" x14ac:dyDescent="0.3">
      <c r="A150">
        <v>1090</v>
      </c>
      <c r="B150" s="1">
        <v>45105</v>
      </c>
      <c r="C150" t="s">
        <v>32</v>
      </c>
      <c r="D150" t="s">
        <v>14</v>
      </c>
      <c r="E150">
        <v>41</v>
      </c>
      <c r="F150" t="s">
        <v>28</v>
      </c>
      <c r="G150">
        <v>3736.88</v>
      </c>
      <c r="H150">
        <v>3946.77</v>
      </c>
      <c r="I150" t="s">
        <v>16</v>
      </c>
      <c r="J150">
        <v>0.06</v>
      </c>
      <c r="K150" t="s">
        <v>30</v>
      </c>
      <c r="L150" t="s">
        <v>18</v>
      </c>
      <c r="M150" t="s">
        <v>52</v>
      </c>
      <c r="N150">
        <f>sales_data_1[[#This Row],[Unit_Price]]-sales_data_1[[#This Row],[Unit_Cost]]</f>
        <v>209.88999999999987</v>
      </c>
      <c r="O150">
        <f>sales_data_1[[#This Row],[Unit_Price]]*sales_data_1[[#This Row],[Quantity_Sold]]</f>
        <v>161817.57</v>
      </c>
      <c r="P150">
        <f>sales_data_1[[#This Row],[Unit - cost]]*sales_data_1[[#This Row],[Quantity_Sold]]</f>
        <v>8605.4899999999943</v>
      </c>
    </row>
    <row r="151" spans="1:16" x14ac:dyDescent="0.3">
      <c r="A151">
        <v>1014</v>
      </c>
      <c r="B151" s="1">
        <v>44968</v>
      </c>
      <c r="C151" t="s">
        <v>23</v>
      </c>
      <c r="D151" t="s">
        <v>20</v>
      </c>
      <c r="E151">
        <v>44</v>
      </c>
      <c r="F151" t="s">
        <v>25</v>
      </c>
      <c r="G151">
        <v>2257.48</v>
      </c>
      <c r="H151">
        <v>2747.81</v>
      </c>
      <c r="I151" t="s">
        <v>16</v>
      </c>
      <c r="J151">
        <v>0.27</v>
      </c>
      <c r="K151" t="s">
        <v>17</v>
      </c>
      <c r="L151" t="s">
        <v>18</v>
      </c>
      <c r="M151" t="s">
        <v>46</v>
      </c>
      <c r="N151">
        <f>sales_data_1[[#This Row],[Unit_Price]]-sales_data_1[[#This Row],[Unit_Cost]]</f>
        <v>490.32999999999993</v>
      </c>
      <c r="O151">
        <f>sales_data_1[[#This Row],[Unit_Price]]*sales_data_1[[#This Row],[Quantity_Sold]]</f>
        <v>120903.64</v>
      </c>
      <c r="P151">
        <f>sales_data_1[[#This Row],[Unit - cost]]*sales_data_1[[#This Row],[Quantity_Sold]]</f>
        <v>21574.519999999997</v>
      </c>
    </row>
    <row r="152" spans="1:16" x14ac:dyDescent="0.3">
      <c r="A152">
        <v>1027</v>
      </c>
      <c r="B152" s="1">
        <v>44941</v>
      </c>
      <c r="C152" t="s">
        <v>13</v>
      </c>
      <c r="D152" t="s">
        <v>20</v>
      </c>
      <c r="E152">
        <v>26</v>
      </c>
      <c r="F152" t="s">
        <v>25</v>
      </c>
      <c r="G152">
        <v>149.11000000000001</v>
      </c>
      <c r="H152">
        <v>477.67</v>
      </c>
      <c r="I152" t="s">
        <v>16</v>
      </c>
      <c r="J152">
        <v>0.14000000000000001</v>
      </c>
      <c r="K152" t="s">
        <v>17</v>
      </c>
      <c r="L152" t="s">
        <v>21</v>
      </c>
      <c r="M152" t="s">
        <v>22</v>
      </c>
      <c r="N152">
        <f>sales_data_1[[#This Row],[Unit_Price]]-sales_data_1[[#This Row],[Unit_Cost]]</f>
        <v>328.56</v>
      </c>
      <c r="O152">
        <f>sales_data_1[[#This Row],[Unit_Price]]*sales_data_1[[#This Row],[Quantity_Sold]]</f>
        <v>12419.42</v>
      </c>
      <c r="P152">
        <f>sales_data_1[[#This Row],[Unit - cost]]*sales_data_1[[#This Row],[Quantity_Sold]]</f>
        <v>8542.56</v>
      </c>
    </row>
    <row r="153" spans="1:16" x14ac:dyDescent="0.3">
      <c r="A153">
        <v>1009</v>
      </c>
      <c r="B153" s="1">
        <v>45037</v>
      </c>
      <c r="C153" t="s">
        <v>37</v>
      </c>
      <c r="D153" t="s">
        <v>14</v>
      </c>
      <c r="E153">
        <v>47</v>
      </c>
      <c r="F153" t="s">
        <v>28</v>
      </c>
      <c r="G153">
        <v>359.41</v>
      </c>
      <c r="H153">
        <v>733</v>
      </c>
      <c r="I153" t="s">
        <v>16</v>
      </c>
      <c r="J153">
        <v>0.2</v>
      </c>
      <c r="K153" t="s">
        <v>26</v>
      </c>
      <c r="L153" t="s">
        <v>21</v>
      </c>
      <c r="M153" t="s">
        <v>39</v>
      </c>
      <c r="N153">
        <f>sales_data_1[[#This Row],[Unit_Price]]-sales_data_1[[#This Row],[Unit_Cost]]</f>
        <v>373.59</v>
      </c>
      <c r="O153">
        <f>sales_data_1[[#This Row],[Unit_Price]]*sales_data_1[[#This Row],[Quantity_Sold]]</f>
        <v>34451</v>
      </c>
      <c r="P153">
        <f>sales_data_1[[#This Row],[Unit - cost]]*sales_data_1[[#This Row],[Quantity_Sold]]</f>
        <v>17558.73</v>
      </c>
    </row>
    <row r="154" spans="1:16" x14ac:dyDescent="0.3">
      <c r="A154">
        <v>1079</v>
      </c>
      <c r="B154" s="1">
        <v>45083</v>
      </c>
      <c r="C154" t="s">
        <v>23</v>
      </c>
      <c r="D154" t="s">
        <v>24</v>
      </c>
      <c r="E154">
        <v>34</v>
      </c>
      <c r="F154" t="s">
        <v>15</v>
      </c>
      <c r="G154">
        <v>1967.96</v>
      </c>
      <c r="H154">
        <v>1993.4</v>
      </c>
      <c r="I154" t="s">
        <v>16</v>
      </c>
      <c r="J154">
        <v>0.15</v>
      </c>
      <c r="K154" t="s">
        <v>30</v>
      </c>
      <c r="L154" t="s">
        <v>18</v>
      </c>
      <c r="M154" t="s">
        <v>27</v>
      </c>
      <c r="N154">
        <f>sales_data_1[[#This Row],[Unit_Price]]-sales_data_1[[#This Row],[Unit_Cost]]</f>
        <v>25.440000000000055</v>
      </c>
      <c r="O154">
        <f>sales_data_1[[#This Row],[Unit_Price]]*sales_data_1[[#This Row],[Quantity_Sold]]</f>
        <v>67775.600000000006</v>
      </c>
      <c r="P154">
        <f>sales_data_1[[#This Row],[Unit - cost]]*sales_data_1[[#This Row],[Quantity_Sold]]</f>
        <v>864.96000000000186</v>
      </c>
    </row>
    <row r="155" spans="1:16" x14ac:dyDescent="0.3">
      <c r="A155">
        <v>1015</v>
      </c>
      <c r="B155" s="1">
        <v>45215</v>
      </c>
      <c r="C155" t="s">
        <v>32</v>
      </c>
      <c r="D155" t="s">
        <v>14</v>
      </c>
      <c r="E155">
        <v>23</v>
      </c>
      <c r="F155" t="s">
        <v>25</v>
      </c>
      <c r="G155">
        <v>2937.94</v>
      </c>
      <c r="H155">
        <v>3007.53</v>
      </c>
      <c r="I155" t="s">
        <v>16</v>
      </c>
      <c r="J155">
        <v>0.03</v>
      </c>
      <c r="K155" t="s">
        <v>17</v>
      </c>
      <c r="L155" t="s">
        <v>21</v>
      </c>
      <c r="M155" t="s">
        <v>52</v>
      </c>
      <c r="N155">
        <f>sales_data_1[[#This Row],[Unit_Price]]-sales_data_1[[#This Row],[Unit_Cost]]</f>
        <v>69.590000000000146</v>
      </c>
      <c r="O155">
        <f>sales_data_1[[#This Row],[Unit_Price]]*sales_data_1[[#This Row],[Quantity_Sold]]</f>
        <v>69173.19</v>
      </c>
      <c r="P155">
        <f>sales_data_1[[#This Row],[Unit - cost]]*sales_data_1[[#This Row],[Quantity_Sold]]</f>
        <v>1600.5700000000033</v>
      </c>
    </row>
    <row r="156" spans="1:16" x14ac:dyDescent="0.3">
      <c r="A156">
        <v>1090</v>
      </c>
      <c r="B156" s="1">
        <v>45157</v>
      </c>
      <c r="C156" t="s">
        <v>13</v>
      </c>
      <c r="D156" t="s">
        <v>20</v>
      </c>
      <c r="E156">
        <v>31</v>
      </c>
      <c r="F156" t="s">
        <v>28</v>
      </c>
      <c r="G156">
        <v>2347.81</v>
      </c>
      <c r="H156">
        <v>2668.02</v>
      </c>
      <c r="I156" t="s">
        <v>16</v>
      </c>
      <c r="J156">
        <v>0.09</v>
      </c>
      <c r="K156" t="s">
        <v>26</v>
      </c>
      <c r="L156" t="s">
        <v>21</v>
      </c>
      <c r="M156" t="s">
        <v>22</v>
      </c>
      <c r="N156">
        <f>sales_data_1[[#This Row],[Unit_Price]]-sales_data_1[[#This Row],[Unit_Cost]]</f>
        <v>320.21000000000004</v>
      </c>
      <c r="O156">
        <f>sales_data_1[[#This Row],[Unit_Price]]*sales_data_1[[#This Row],[Quantity_Sold]]</f>
        <v>82708.62</v>
      </c>
      <c r="P156">
        <f>sales_data_1[[#This Row],[Unit - cost]]*sales_data_1[[#This Row],[Quantity_Sold]]</f>
        <v>9926.510000000002</v>
      </c>
    </row>
    <row r="157" spans="1:16" x14ac:dyDescent="0.3">
      <c r="A157">
        <v>1042</v>
      </c>
      <c r="B157" s="1">
        <v>45083</v>
      </c>
      <c r="C157" t="s">
        <v>13</v>
      </c>
      <c r="D157" t="s">
        <v>14</v>
      </c>
      <c r="E157">
        <v>20</v>
      </c>
      <c r="F157" t="s">
        <v>25</v>
      </c>
      <c r="G157">
        <v>3115.06</v>
      </c>
      <c r="H157">
        <v>3565.58</v>
      </c>
      <c r="I157" t="s">
        <v>16</v>
      </c>
      <c r="J157">
        <v>0.3</v>
      </c>
      <c r="K157" t="s">
        <v>30</v>
      </c>
      <c r="L157" t="s">
        <v>21</v>
      </c>
      <c r="M157" t="s">
        <v>19</v>
      </c>
      <c r="N157">
        <f>sales_data_1[[#This Row],[Unit_Price]]-sales_data_1[[#This Row],[Unit_Cost]]</f>
        <v>450.52</v>
      </c>
      <c r="O157">
        <f>sales_data_1[[#This Row],[Unit_Price]]*sales_data_1[[#This Row],[Quantity_Sold]]</f>
        <v>71311.600000000006</v>
      </c>
      <c r="P157">
        <f>sales_data_1[[#This Row],[Unit - cost]]*sales_data_1[[#This Row],[Quantity_Sold]]</f>
        <v>9010.4</v>
      </c>
    </row>
    <row r="158" spans="1:16" x14ac:dyDescent="0.3">
      <c r="A158">
        <v>1077</v>
      </c>
      <c r="B158" s="1">
        <v>44964</v>
      </c>
      <c r="C158" t="s">
        <v>37</v>
      </c>
      <c r="D158" t="s">
        <v>20</v>
      </c>
      <c r="E158">
        <v>12</v>
      </c>
      <c r="F158" t="s">
        <v>28</v>
      </c>
      <c r="G158">
        <v>2427.46</v>
      </c>
      <c r="H158">
        <v>2743.09</v>
      </c>
      <c r="I158" t="s">
        <v>29</v>
      </c>
      <c r="J158">
        <v>0.28999999999999998</v>
      </c>
      <c r="K158" t="s">
        <v>30</v>
      </c>
      <c r="L158" t="s">
        <v>21</v>
      </c>
      <c r="M158" t="s">
        <v>40</v>
      </c>
      <c r="N158">
        <f>sales_data_1[[#This Row],[Unit_Price]]-sales_data_1[[#This Row],[Unit_Cost]]</f>
        <v>315.63000000000011</v>
      </c>
      <c r="O158">
        <f>sales_data_1[[#This Row],[Unit_Price]]*sales_data_1[[#This Row],[Quantity_Sold]]</f>
        <v>32917.08</v>
      </c>
      <c r="P158">
        <f>sales_data_1[[#This Row],[Unit - cost]]*sales_data_1[[#This Row],[Quantity_Sold]]</f>
        <v>3787.5600000000013</v>
      </c>
    </row>
    <row r="159" spans="1:16" x14ac:dyDescent="0.3">
      <c r="A159">
        <v>1051</v>
      </c>
      <c r="B159" s="1">
        <v>45023</v>
      </c>
      <c r="C159" t="s">
        <v>41</v>
      </c>
      <c r="D159" t="s">
        <v>20</v>
      </c>
      <c r="E159">
        <v>23</v>
      </c>
      <c r="F159" t="s">
        <v>34</v>
      </c>
      <c r="G159">
        <v>3325.43</v>
      </c>
      <c r="H159">
        <v>3401.1</v>
      </c>
      <c r="I159" t="s">
        <v>29</v>
      </c>
      <c r="J159">
        <v>0.1</v>
      </c>
      <c r="K159" t="s">
        <v>17</v>
      </c>
      <c r="L159" t="s">
        <v>18</v>
      </c>
      <c r="M159" t="s">
        <v>50</v>
      </c>
      <c r="N159">
        <f>sales_data_1[[#This Row],[Unit_Price]]-sales_data_1[[#This Row],[Unit_Cost]]</f>
        <v>75.670000000000073</v>
      </c>
      <c r="O159">
        <f>sales_data_1[[#This Row],[Unit_Price]]*sales_data_1[[#This Row],[Quantity_Sold]]</f>
        <v>78225.3</v>
      </c>
      <c r="P159">
        <f>sales_data_1[[#This Row],[Unit - cost]]*sales_data_1[[#This Row],[Quantity_Sold]]</f>
        <v>1740.4100000000017</v>
      </c>
    </row>
    <row r="160" spans="1:16" x14ac:dyDescent="0.3">
      <c r="A160">
        <v>1063</v>
      </c>
      <c r="B160" s="1">
        <v>45215</v>
      </c>
      <c r="C160" t="s">
        <v>32</v>
      </c>
      <c r="D160" t="s">
        <v>14</v>
      </c>
      <c r="E160">
        <v>4</v>
      </c>
      <c r="F160" t="s">
        <v>28</v>
      </c>
      <c r="G160">
        <v>1134.67</v>
      </c>
      <c r="H160">
        <v>1201.3900000000001</v>
      </c>
      <c r="I160" t="s">
        <v>29</v>
      </c>
      <c r="J160">
        <v>0.3</v>
      </c>
      <c r="K160" t="s">
        <v>26</v>
      </c>
      <c r="L160" t="s">
        <v>21</v>
      </c>
      <c r="M160" t="s">
        <v>52</v>
      </c>
      <c r="N160">
        <f>sales_data_1[[#This Row],[Unit_Price]]-sales_data_1[[#This Row],[Unit_Cost]]</f>
        <v>66.720000000000027</v>
      </c>
      <c r="O160">
        <f>sales_data_1[[#This Row],[Unit_Price]]*sales_data_1[[#This Row],[Quantity_Sold]]</f>
        <v>4805.5600000000004</v>
      </c>
      <c r="P160">
        <f>sales_data_1[[#This Row],[Unit - cost]]*sales_data_1[[#This Row],[Quantity_Sold]]</f>
        <v>266.88000000000011</v>
      </c>
    </row>
    <row r="161" spans="1:16" x14ac:dyDescent="0.3">
      <c r="A161">
        <v>1096</v>
      </c>
      <c r="B161" s="1">
        <v>45180</v>
      </c>
      <c r="C161" t="s">
        <v>37</v>
      </c>
      <c r="D161" t="s">
        <v>24</v>
      </c>
      <c r="E161">
        <v>23</v>
      </c>
      <c r="F161" t="s">
        <v>34</v>
      </c>
      <c r="G161">
        <v>608.57000000000005</v>
      </c>
      <c r="H161">
        <v>1032.22</v>
      </c>
      <c r="I161" t="s">
        <v>29</v>
      </c>
      <c r="J161">
        <v>0.25</v>
      </c>
      <c r="K161" t="s">
        <v>17</v>
      </c>
      <c r="L161" t="s">
        <v>21</v>
      </c>
      <c r="M161" t="s">
        <v>38</v>
      </c>
      <c r="N161">
        <f>sales_data_1[[#This Row],[Unit_Price]]-sales_data_1[[#This Row],[Unit_Cost]]</f>
        <v>423.65</v>
      </c>
      <c r="O161">
        <f>sales_data_1[[#This Row],[Unit_Price]]*sales_data_1[[#This Row],[Quantity_Sold]]</f>
        <v>23741.06</v>
      </c>
      <c r="P161">
        <f>sales_data_1[[#This Row],[Unit - cost]]*sales_data_1[[#This Row],[Quantity_Sold]]</f>
        <v>9743.9499999999989</v>
      </c>
    </row>
    <row r="162" spans="1:16" x14ac:dyDescent="0.3">
      <c r="A162">
        <v>1052</v>
      </c>
      <c r="B162" s="1">
        <v>45122</v>
      </c>
      <c r="C162" t="s">
        <v>32</v>
      </c>
      <c r="D162" t="s">
        <v>33</v>
      </c>
      <c r="E162">
        <v>48</v>
      </c>
      <c r="F162" t="s">
        <v>25</v>
      </c>
      <c r="G162">
        <v>3002.35</v>
      </c>
      <c r="H162">
        <v>3080.61</v>
      </c>
      <c r="I162" t="s">
        <v>16</v>
      </c>
      <c r="J162">
        <v>0.18</v>
      </c>
      <c r="K162" t="s">
        <v>26</v>
      </c>
      <c r="L162" t="s">
        <v>21</v>
      </c>
      <c r="M162" t="s">
        <v>35</v>
      </c>
      <c r="N162">
        <f>sales_data_1[[#This Row],[Unit_Price]]-sales_data_1[[#This Row],[Unit_Cost]]</f>
        <v>78.260000000000218</v>
      </c>
      <c r="O162">
        <f>sales_data_1[[#This Row],[Unit_Price]]*sales_data_1[[#This Row],[Quantity_Sold]]</f>
        <v>147869.28</v>
      </c>
      <c r="P162">
        <f>sales_data_1[[#This Row],[Unit - cost]]*sales_data_1[[#This Row],[Quantity_Sold]]</f>
        <v>3756.4800000000105</v>
      </c>
    </row>
    <row r="163" spans="1:16" x14ac:dyDescent="0.3">
      <c r="A163">
        <v>1096</v>
      </c>
      <c r="B163" s="1">
        <v>45012</v>
      </c>
      <c r="C163" t="s">
        <v>41</v>
      </c>
      <c r="D163" t="s">
        <v>14</v>
      </c>
      <c r="E163">
        <v>48</v>
      </c>
      <c r="F163" t="s">
        <v>28</v>
      </c>
      <c r="G163">
        <v>2449.21</v>
      </c>
      <c r="H163">
        <v>2714.12</v>
      </c>
      <c r="I163" t="s">
        <v>29</v>
      </c>
      <c r="J163">
        <v>0.01</v>
      </c>
      <c r="K163" t="s">
        <v>30</v>
      </c>
      <c r="L163" t="s">
        <v>18</v>
      </c>
      <c r="M163" t="s">
        <v>48</v>
      </c>
      <c r="N163">
        <f>sales_data_1[[#This Row],[Unit_Price]]-sales_data_1[[#This Row],[Unit_Cost]]</f>
        <v>264.90999999999985</v>
      </c>
      <c r="O163">
        <f>sales_data_1[[#This Row],[Unit_Price]]*sales_data_1[[#This Row],[Quantity_Sold]]</f>
        <v>130277.75999999999</v>
      </c>
      <c r="P163">
        <f>sales_data_1[[#This Row],[Unit - cost]]*sales_data_1[[#This Row],[Quantity_Sold]]</f>
        <v>12715.679999999993</v>
      </c>
    </row>
    <row r="164" spans="1:16" x14ac:dyDescent="0.3">
      <c r="A164">
        <v>1004</v>
      </c>
      <c r="B164" s="1">
        <v>45248</v>
      </c>
      <c r="C164" t="s">
        <v>41</v>
      </c>
      <c r="D164" t="s">
        <v>33</v>
      </c>
      <c r="E164">
        <v>1</v>
      </c>
      <c r="F164" t="s">
        <v>25</v>
      </c>
      <c r="G164">
        <v>182.99</v>
      </c>
      <c r="H164">
        <v>211.18</v>
      </c>
      <c r="I164" t="s">
        <v>16</v>
      </c>
      <c r="J164">
        <v>0.27</v>
      </c>
      <c r="K164" t="s">
        <v>26</v>
      </c>
      <c r="L164" t="s">
        <v>21</v>
      </c>
      <c r="M164" t="s">
        <v>51</v>
      </c>
      <c r="N164">
        <f>sales_data_1[[#This Row],[Unit_Price]]-sales_data_1[[#This Row],[Unit_Cost]]</f>
        <v>28.189999999999998</v>
      </c>
      <c r="O164">
        <f>sales_data_1[[#This Row],[Unit_Price]]*sales_data_1[[#This Row],[Quantity_Sold]]</f>
        <v>211.18</v>
      </c>
      <c r="P164">
        <f>sales_data_1[[#This Row],[Unit - cost]]*sales_data_1[[#This Row],[Quantity_Sold]]</f>
        <v>28.189999999999998</v>
      </c>
    </row>
    <row r="165" spans="1:16" x14ac:dyDescent="0.3">
      <c r="A165">
        <v>1094</v>
      </c>
      <c r="B165" s="1">
        <v>44936</v>
      </c>
      <c r="C165" t="s">
        <v>37</v>
      </c>
      <c r="D165" t="s">
        <v>14</v>
      </c>
      <c r="E165">
        <v>25</v>
      </c>
      <c r="F165" t="s">
        <v>34</v>
      </c>
      <c r="G165">
        <v>1933.39</v>
      </c>
      <c r="H165">
        <v>1982.92</v>
      </c>
      <c r="I165" t="s">
        <v>29</v>
      </c>
      <c r="J165">
        <v>0.17</v>
      </c>
      <c r="K165" t="s">
        <v>26</v>
      </c>
      <c r="L165" t="s">
        <v>18</v>
      </c>
      <c r="M165" t="s">
        <v>39</v>
      </c>
      <c r="N165">
        <f>sales_data_1[[#This Row],[Unit_Price]]-sales_data_1[[#This Row],[Unit_Cost]]</f>
        <v>49.529999999999973</v>
      </c>
      <c r="O165">
        <f>sales_data_1[[#This Row],[Unit_Price]]*sales_data_1[[#This Row],[Quantity_Sold]]</f>
        <v>49573</v>
      </c>
      <c r="P165">
        <f>sales_data_1[[#This Row],[Unit - cost]]*sales_data_1[[#This Row],[Quantity_Sold]]</f>
        <v>1238.2499999999993</v>
      </c>
    </row>
    <row r="166" spans="1:16" x14ac:dyDescent="0.3">
      <c r="A166">
        <v>1023</v>
      </c>
      <c r="B166" s="1">
        <v>44931</v>
      </c>
      <c r="C166" t="s">
        <v>41</v>
      </c>
      <c r="D166" t="s">
        <v>33</v>
      </c>
      <c r="E166">
        <v>2</v>
      </c>
      <c r="F166" t="s">
        <v>28</v>
      </c>
      <c r="G166">
        <v>575.32000000000005</v>
      </c>
      <c r="H166">
        <v>914.77</v>
      </c>
      <c r="I166" t="s">
        <v>16</v>
      </c>
      <c r="J166">
        <v>0.26</v>
      </c>
      <c r="K166" t="s">
        <v>26</v>
      </c>
      <c r="L166" t="s">
        <v>18</v>
      </c>
      <c r="M166" t="s">
        <v>51</v>
      </c>
      <c r="N166">
        <f>sales_data_1[[#This Row],[Unit_Price]]-sales_data_1[[#This Row],[Unit_Cost]]</f>
        <v>339.44999999999993</v>
      </c>
      <c r="O166">
        <f>sales_data_1[[#This Row],[Unit_Price]]*sales_data_1[[#This Row],[Quantity_Sold]]</f>
        <v>1829.54</v>
      </c>
      <c r="P166">
        <f>sales_data_1[[#This Row],[Unit - cost]]*sales_data_1[[#This Row],[Quantity_Sold]]</f>
        <v>678.89999999999986</v>
      </c>
    </row>
    <row r="167" spans="1:16" x14ac:dyDescent="0.3">
      <c r="A167">
        <v>1015</v>
      </c>
      <c r="B167" s="1">
        <v>45049</v>
      </c>
      <c r="C167" t="s">
        <v>23</v>
      </c>
      <c r="D167" t="s">
        <v>24</v>
      </c>
      <c r="E167">
        <v>30</v>
      </c>
      <c r="F167" t="s">
        <v>25</v>
      </c>
      <c r="G167">
        <v>2680.22</v>
      </c>
      <c r="H167">
        <v>3027.9199999999996</v>
      </c>
      <c r="I167" t="s">
        <v>16</v>
      </c>
      <c r="J167">
        <v>0.25</v>
      </c>
      <c r="K167" t="s">
        <v>26</v>
      </c>
      <c r="L167" t="s">
        <v>18</v>
      </c>
      <c r="M167" t="s">
        <v>27</v>
      </c>
      <c r="N167">
        <f>sales_data_1[[#This Row],[Unit_Price]]-sales_data_1[[#This Row],[Unit_Cost]]</f>
        <v>347.69999999999982</v>
      </c>
      <c r="O167">
        <f>sales_data_1[[#This Row],[Unit_Price]]*sales_data_1[[#This Row],[Quantity_Sold]]</f>
        <v>90837.599999999991</v>
      </c>
      <c r="P167">
        <f>sales_data_1[[#This Row],[Unit - cost]]*sales_data_1[[#This Row],[Quantity_Sold]]</f>
        <v>10430.999999999995</v>
      </c>
    </row>
    <row r="168" spans="1:16" x14ac:dyDescent="0.3">
      <c r="A168">
        <v>1043</v>
      </c>
      <c r="B168" s="1">
        <v>45256</v>
      </c>
      <c r="C168" t="s">
        <v>13</v>
      </c>
      <c r="D168" t="s">
        <v>24</v>
      </c>
      <c r="E168">
        <v>3</v>
      </c>
      <c r="F168" t="s">
        <v>34</v>
      </c>
      <c r="G168">
        <v>2009.1</v>
      </c>
      <c r="H168">
        <v>2186.42</v>
      </c>
      <c r="I168" t="s">
        <v>29</v>
      </c>
      <c r="J168">
        <v>0.25</v>
      </c>
      <c r="K168" t="s">
        <v>26</v>
      </c>
      <c r="L168" t="s">
        <v>18</v>
      </c>
      <c r="M168" t="s">
        <v>31</v>
      </c>
      <c r="N168">
        <f>sales_data_1[[#This Row],[Unit_Price]]-sales_data_1[[#This Row],[Unit_Cost]]</f>
        <v>177.32000000000016</v>
      </c>
      <c r="O168">
        <f>sales_data_1[[#This Row],[Unit_Price]]*sales_data_1[[#This Row],[Quantity_Sold]]</f>
        <v>6559.26</v>
      </c>
      <c r="P168">
        <f>sales_data_1[[#This Row],[Unit - cost]]*sales_data_1[[#This Row],[Quantity_Sold]]</f>
        <v>531.96000000000049</v>
      </c>
    </row>
    <row r="169" spans="1:16" x14ac:dyDescent="0.3">
      <c r="A169">
        <v>1029</v>
      </c>
      <c r="B169" s="1">
        <v>45279</v>
      </c>
      <c r="C169" t="s">
        <v>37</v>
      </c>
      <c r="D169" t="s">
        <v>14</v>
      </c>
      <c r="E169">
        <v>21</v>
      </c>
      <c r="F169" t="s">
        <v>25</v>
      </c>
      <c r="G169">
        <v>3085.1</v>
      </c>
      <c r="H169">
        <v>3200.75</v>
      </c>
      <c r="I169" t="s">
        <v>29</v>
      </c>
      <c r="J169">
        <v>0.21</v>
      </c>
      <c r="K169" t="s">
        <v>17</v>
      </c>
      <c r="L169" t="s">
        <v>21</v>
      </c>
      <c r="M169" t="s">
        <v>39</v>
      </c>
      <c r="N169">
        <f>sales_data_1[[#This Row],[Unit_Price]]-sales_data_1[[#This Row],[Unit_Cost]]</f>
        <v>115.65000000000009</v>
      </c>
      <c r="O169">
        <f>sales_data_1[[#This Row],[Unit_Price]]*sales_data_1[[#This Row],[Quantity_Sold]]</f>
        <v>67215.75</v>
      </c>
      <c r="P169">
        <f>sales_data_1[[#This Row],[Unit - cost]]*sales_data_1[[#This Row],[Quantity_Sold]]</f>
        <v>2428.6500000000019</v>
      </c>
    </row>
    <row r="170" spans="1:16" x14ac:dyDescent="0.3">
      <c r="A170">
        <v>1036</v>
      </c>
      <c r="B170" s="1">
        <v>45044</v>
      </c>
      <c r="C170" t="s">
        <v>32</v>
      </c>
      <c r="D170" t="s">
        <v>20</v>
      </c>
      <c r="E170">
        <v>25</v>
      </c>
      <c r="F170" t="s">
        <v>15</v>
      </c>
      <c r="G170">
        <v>4037.73</v>
      </c>
      <c r="H170">
        <v>4446.45</v>
      </c>
      <c r="I170" t="s">
        <v>16</v>
      </c>
      <c r="J170">
        <v>0.09</v>
      </c>
      <c r="K170" t="s">
        <v>26</v>
      </c>
      <c r="L170" t="s">
        <v>18</v>
      </c>
      <c r="M170" t="s">
        <v>36</v>
      </c>
      <c r="N170">
        <f>sales_data_1[[#This Row],[Unit_Price]]-sales_data_1[[#This Row],[Unit_Cost]]</f>
        <v>408.7199999999998</v>
      </c>
      <c r="O170">
        <f>sales_data_1[[#This Row],[Unit_Price]]*sales_data_1[[#This Row],[Quantity_Sold]]</f>
        <v>111161.25</v>
      </c>
      <c r="P170">
        <f>sales_data_1[[#This Row],[Unit - cost]]*sales_data_1[[#This Row],[Quantity_Sold]]</f>
        <v>10217.999999999995</v>
      </c>
    </row>
    <row r="171" spans="1:16" x14ac:dyDescent="0.3">
      <c r="A171">
        <v>1013</v>
      </c>
      <c r="B171" s="1">
        <v>45220</v>
      </c>
      <c r="C171" t="s">
        <v>23</v>
      </c>
      <c r="D171" t="s">
        <v>33</v>
      </c>
      <c r="E171">
        <v>20</v>
      </c>
      <c r="F171" t="s">
        <v>34</v>
      </c>
      <c r="G171">
        <v>1533.36</v>
      </c>
      <c r="H171">
        <v>1649.7399999999998</v>
      </c>
      <c r="I171" t="s">
        <v>16</v>
      </c>
      <c r="J171">
        <v>0.1</v>
      </c>
      <c r="K171" t="s">
        <v>26</v>
      </c>
      <c r="L171" t="s">
        <v>18</v>
      </c>
      <c r="M171" t="s">
        <v>49</v>
      </c>
      <c r="N171">
        <f>sales_data_1[[#This Row],[Unit_Price]]-sales_data_1[[#This Row],[Unit_Cost]]</f>
        <v>116.37999999999988</v>
      </c>
      <c r="O171">
        <f>sales_data_1[[#This Row],[Unit_Price]]*sales_data_1[[#This Row],[Quantity_Sold]]</f>
        <v>32994.799999999996</v>
      </c>
      <c r="P171">
        <f>sales_data_1[[#This Row],[Unit - cost]]*sales_data_1[[#This Row],[Quantity_Sold]]</f>
        <v>2327.5999999999976</v>
      </c>
    </row>
    <row r="172" spans="1:16" x14ac:dyDescent="0.3">
      <c r="A172">
        <v>1032</v>
      </c>
      <c r="B172" s="1">
        <v>45085</v>
      </c>
      <c r="C172" t="s">
        <v>37</v>
      </c>
      <c r="D172" t="s">
        <v>20</v>
      </c>
      <c r="E172">
        <v>49</v>
      </c>
      <c r="F172" t="s">
        <v>34</v>
      </c>
      <c r="G172">
        <v>4812.41</v>
      </c>
      <c r="H172">
        <v>5088</v>
      </c>
      <c r="I172" t="s">
        <v>16</v>
      </c>
      <c r="J172">
        <v>0.09</v>
      </c>
      <c r="K172" t="s">
        <v>30</v>
      </c>
      <c r="L172" t="s">
        <v>18</v>
      </c>
      <c r="M172" t="s">
        <v>40</v>
      </c>
      <c r="N172">
        <f>sales_data_1[[#This Row],[Unit_Price]]-sales_data_1[[#This Row],[Unit_Cost]]</f>
        <v>275.59000000000015</v>
      </c>
      <c r="O172">
        <f>sales_data_1[[#This Row],[Unit_Price]]*sales_data_1[[#This Row],[Quantity_Sold]]</f>
        <v>249312</v>
      </c>
      <c r="P172">
        <f>sales_data_1[[#This Row],[Unit - cost]]*sales_data_1[[#This Row],[Quantity_Sold]]</f>
        <v>13503.910000000007</v>
      </c>
    </row>
    <row r="173" spans="1:16" x14ac:dyDescent="0.3">
      <c r="A173">
        <v>1071</v>
      </c>
      <c r="B173" s="1">
        <v>45229</v>
      </c>
      <c r="C173" t="s">
        <v>41</v>
      </c>
      <c r="D173" t="s">
        <v>20</v>
      </c>
      <c r="E173">
        <v>22</v>
      </c>
      <c r="F173" t="s">
        <v>34</v>
      </c>
      <c r="G173">
        <v>2701.39</v>
      </c>
      <c r="H173">
        <v>3185.81</v>
      </c>
      <c r="I173" t="s">
        <v>29</v>
      </c>
      <c r="J173">
        <v>0.01</v>
      </c>
      <c r="K173" t="s">
        <v>26</v>
      </c>
      <c r="L173" t="s">
        <v>18</v>
      </c>
      <c r="M173" t="s">
        <v>50</v>
      </c>
      <c r="N173">
        <f>sales_data_1[[#This Row],[Unit_Price]]-sales_data_1[[#This Row],[Unit_Cost]]</f>
        <v>484.42000000000007</v>
      </c>
      <c r="O173">
        <f>sales_data_1[[#This Row],[Unit_Price]]*sales_data_1[[#This Row],[Quantity_Sold]]</f>
        <v>70087.819999999992</v>
      </c>
      <c r="P173">
        <f>sales_data_1[[#This Row],[Unit - cost]]*sales_data_1[[#This Row],[Quantity_Sold]]</f>
        <v>10657.240000000002</v>
      </c>
    </row>
    <row r="174" spans="1:16" x14ac:dyDescent="0.3">
      <c r="A174">
        <v>1059</v>
      </c>
      <c r="B174" s="1">
        <v>45154</v>
      </c>
      <c r="C174" t="s">
        <v>41</v>
      </c>
      <c r="D174" t="s">
        <v>20</v>
      </c>
      <c r="E174">
        <v>21</v>
      </c>
      <c r="F174" t="s">
        <v>28</v>
      </c>
      <c r="G174">
        <v>3110.54</v>
      </c>
      <c r="H174">
        <v>3192.99</v>
      </c>
      <c r="I174" t="s">
        <v>29</v>
      </c>
      <c r="J174">
        <v>0.17</v>
      </c>
      <c r="K174" t="s">
        <v>30</v>
      </c>
      <c r="L174" t="s">
        <v>18</v>
      </c>
      <c r="M174" t="s">
        <v>50</v>
      </c>
      <c r="N174">
        <f>sales_data_1[[#This Row],[Unit_Price]]-sales_data_1[[#This Row],[Unit_Cost]]</f>
        <v>82.449999999999818</v>
      </c>
      <c r="O174">
        <f>sales_data_1[[#This Row],[Unit_Price]]*sales_data_1[[#This Row],[Quantity_Sold]]</f>
        <v>67052.789999999994</v>
      </c>
      <c r="P174">
        <f>sales_data_1[[#This Row],[Unit - cost]]*sales_data_1[[#This Row],[Quantity_Sold]]</f>
        <v>1731.4499999999962</v>
      </c>
    </row>
    <row r="175" spans="1:16" x14ac:dyDescent="0.3">
      <c r="A175">
        <v>1086</v>
      </c>
      <c r="B175" s="1">
        <v>45291</v>
      </c>
      <c r="C175" t="s">
        <v>41</v>
      </c>
      <c r="D175" t="s">
        <v>24</v>
      </c>
      <c r="E175">
        <v>33</v>
      </c>
      <c r="F175" t="s">
        <v>28</v>
      </c>
      <c r="G175">
        <v>3419.33</v>
      </c>
      <c r="H175">
        <v>3890.3599999999997</v>
      </c>
      <c r="I175" t="s">
        <v>16</v>
      </c>
      <c r="J175">
        <v>0.21</v>
      </c>
      <c r="K175" t="s">
        <v>17</v>
      </c>
      <c r="L175" t="s">
        <v>21</v>
      </c>
      <c r="M175" t="s">
        <v>42</v>
      </c>
      <c r="N175">
        <f>sales_data_1[[#This Row],[Unit_Price]]-sales_data_1[[#This Row],[Unit_Cost]]</f>
        <v>471.02999999999975</v>
      </c>
      <c r="O175">
        <f>sales_data_1[[#This Row],[Unit_Price]]*sales_data_1[[#This Row],[Quantity_Sold]]</f>
        <v>128381.87999999999</v>
      </c>
      <c r="P175">
        <f>sales_data_1[[#This Row],[Unit - cost]]*sales_data_1[[#This Row],[Quantity_Sold]]</f>
        <v>15543.989999999991</v>
      </c>
    </row>
    <row r="176" spans="1:16" x14ac:dyDescent="0.3">
      <c r="A176">
        <v>1028</v>
      </c>
      <c r="B176" s="1">
        <v>45142</v>
      </c>
      <c r="C176" t="s">
        <v>41</v>
      </c>
      <c r="D176" t="s">
        <v>14</v>
      </c>
      <c r="E176">
        <v>38</v>
      </c>
      <c r="F176" t="s">
        <v>28</v>
      </c>
      <c r="G176">
        <v>3350.32</v>
      </c>
      <c r="H176">
        <v>3449.94</v>
      </c>
      <c r="I176" t="s">
        <v>29</v>
      </c>
      <c r="J176">
        <v>0.26</v>
      </c>
      <c r="K176" t="s">
        <v>17</v>
      </c>
      <c r="L176" t="s">
        <v>18</v>
      </c>
      <c r="M176" t="s">
        <v>48</v>
      </c>
      <c r="N176">
        <f>sales_data_1[[#This Row],[Unit_Price]]-sales_data_1[[#This Row],[Unit_Cost]]</f>
        <v>99.619999999999891</v>
      </c>
      <c r="O176">
        <f>sales_data_1[[#This Row],[Unit_Price]]*sales_data_1[[#This Row],[Quantity_Sold]]</f>
        <v>131097.72</v>
      </c>
      <c r="P176">
        <f>sales_data_1[[#This Row],[Unit - cost]]*sales_data_1[[#This Row],[Quantity_Sold]]</f>
        <v>3785.5599999999959</v>
      </c>
    </row>
    <row r="177" spans="1:16" x14ac:dyDescent="0.3">
      <c r="A177">
        <v>1066</v>
      </c>
      <c r="B177" s="1">
        <v>45110</v>
      </c>
      <c r="C177" t="s">
        <v>32</v>
      </c>
      <c r="D177" t="s">
        <v>14</v>
      </c>
      <c r="E177">
        <v>15</v>
      </c>
      <c r="F177" t="s">
        <v>15</v>
      </c>
      <c r="G177">
        <v>2579.31</v>
      </c>
      <c r="H177">
        <v>2867.36</v>
      </c>
      <c r="I177" t="s">
        <v>16</v>
      </c>
      <c r="J177">
        <v>0.04</v>
      </c>
      <c r="K177" t="s">
        <v>26</v>
      </c>
      <c r="L177" t="s">
        <v>21</v>
      </c>
      <c r="M177" t="s">
        <v>52</v>
      </c>
      <c r="N177">
        <f>sales_data_1[[#This Row],[Unit_Price]]-sales_data_1[[#This Row],[Unit_Cost]]</f>
        <v>288.05000000000018</v>
      </c>
      <c r="O177">
        <f>sales_data_1[[#This Row],[Unit_Price]]*sales_data_1[[#This Row],[Quantity_Sold]]</f>
        <v>43010.400000000001</v>
      </c>
      <c r="P177">
        <f>sales_data_1[[#This Row],[Unit - cost]]*sales_data_1[[#This Row],[Quantity_Sold]]</f>
        <v>4320.7500000000027</v>
      </c>
    </row>
    <row r="178" spans="1:16" x14ac:dyDescent="0.3">
      <c r="A178">
        <v>1042</v>
      </c>
      <c r="B178" s="1">
        <v>44941</v>
      </c>
      <c r="C178" t="s">
        <v>23</v>
      </c>
      <c r="D178" t="s">
        <v>24</v>
      </c>
      <c r="E178">
        <v>46</v>
      </c>
      <c r="F178" t="s">
        <v>15</v>
      </c>
      <c r="G178">
        <v>2172.38</v>
      </c>
      <c r="H178">
        <v>2367.11</v>
      </c>
      <c r="I178" t="s">
        <v>29</v>
      </c>
      <c r="J178">
        <v>0.16</v>
      </c>
      <c r="K178" t="s">
        <v>17</v>
      </c>
      <c r="L178" t="s">
        <v>21</v>
      </c>
      <c r="M178" t="s">
        <v>27</v>
      </c>
      <c r="N178">
        <f>sales_data_1[[#This Row],[Unit_Price]]-sales_data_1[[#This Row],[Unit_Cost]]</f>
        <v>194.73000000000002</v>
      </c>
      <c r="O178">
        <f>sales_data_1[[#This Row],[Unit_Price]]*sales_data_1[[#This Row],[Quantity_Sold]]</f>
        <v>108887.06000000001</v>
      </c>
      <c r="P178">
        <f>sales_data_1[[#This Row],[Unit - cost]]*sales_data_1[[#This Row],[Quantity_Sold]]</f>
        <v>8957.5800000000017</v>
      </c>
    </row>
    <row r="179" spans="1:16" x14ac:dyDescent="0.3">
      <c r="A179">
        <v>1045</v>
      </c>
      <c r="B179" s="1">
        <v>45083</v>
      </c>
      <c r="C179" t="s">
        <v>13</v>
      </c>
      <c r="D179" t="s">
        <v>24</v>
      </c>
      <c r="E179">
        <v>15</v>
      </c>
      <c r="F179" t="s">
        <v>34</v>
      </c>
      <c r="G179">
        <v>316.22000000000003</v>
      </c>
      <c r="H179">
        <v>799.04</v>
      </c>
      <c r="I179" t="s">
        <v>29</v>
      </c>
      <c r="J179">
        <v>0</v>
      </c>
      <c r="K179" t="s">
        <v>26</v>
      </c>
      <c r="L179" t="s">
        <v>18</v>
      </c>
      <c r="M179" t="s">
        <v>31</v>
      </c>
      <c r="N179">
        <f>sales_data_1[[#This Row],[Unit_Price]]-sales_data_1[[#This Row],[Unit_Cost]]</f>
        <v>482.81999999999994</v>
      </c>
      <c r="O179">
        <f>sales_data_1[[#This Row],[Unit_Price]]*sales_data_1[[#This Row],[Quantity_Sold]]</f>
        <v>11985.599999999999</v>
      </c>
      <c r="P179">
        <f>sales_data_1[[#This Row],[Unit - cost]]*sales_data_1[[#This Row],[Quantity_Sold]]</f>
        <v>7242.2999999999993</v>
      </c>
    </row>
    <row r="180" spans="1:16" x14ac:dyDescent="0.3">
      <c r="A180">
        <v>1062</v>
      </c>
      <c r="B180" s="1">
        <v>45062</v>
      </c>
      <c r="C180" t="s">
        <v>32</v>
      </c>
      <c r="D180" t="s">
        <v>14</v>
      </c>
      <c r="E180">
        <v>46</v>
      </c>
      <c r="F180" t="s">
        <v>15</v>
      </c>
      <c r="G180">
        <v>159.32</v>
      </c>
      <c r="H180">
        <v>303.36</v>
      </c>
      <c r="I180" t="s">
        <v>29</v>
      </c>
      <c r="J180">
        <v>0.03</v>
      </c>
      <c r="K180" t="s">
        <v>17</v>
      </c>
      <c r="L180" t="s">
        <v>21</v>
      </c>
      <c r="M180" t="s">
        <v>52</v>
      </c>
      <c r="N180">
        <f>sales_data_1[[#This Row],[Unit_Price]]-sales_data_1[[#This Row],[Unit_Cost]]</f>
        <v>144.04000000000002</v>
      </c>
      <c r="O180">
        <f>sales_data_1[[#This Row],[Unit_Price]]*sales_data_1[[#This Row],[Quantity_Sold]]</f>
        <v>13954.560000000001</v>
      </c>
      <c r="P180">
        <f>sales_data_1[[#This Row],[Unit - cost]]*sales_data_1[[#This Row],[Quantity_Sold]]</f>
        <v>6625.8400000000011</v>
      </c>
    </row>
    <row r="181" spans="1:16" x14ac:dyDescent="0.3">
      <c r="A181">
        <v>1057</v>
      </c>
      <c r="B181" s="1">
        <v>45187</v>
      </c>
      <c r="C181" t="s">
        <v>32</v>
      </c>
      <c r="D181" t="s">
        <v>20</v>
      </c>
      <c r="E181">
        <v>25</v>
      </c>
      <c r="F181" t="s">
        <v>25</v>
      </c>
      <c r="G181">
        <v>1821.91</v>
      </c>
      <c r="H181">
        <v>2027.74</v>
      </c>
      <c r="I181" t="s">
        <v>29</v>
      </c>
      <c r="J181">
        <v>0.02</v>
      </c>
      <c r="K181" t="s">
        <v>26</v>
      </c>
      <c r="L181" t="s">
        <v>21</v>
      </c>
      <c r="M181" t="s">
        <v>36</v>
      </c>
      <c r="N181">
        <f>sales_data_1[[#This Row],[Unit_Price]]-sales_data_1[[#This Row],[Unit_Cost]]</f>
        <v>205.82999999999993</v>
      </c>
      <c r="O181">
        <f>sales_data_1[[#This Row],[Unit_Price]]*sales_data_1[[#This Row],[Quantity_Sold]]</f>
        <v>50693.5</v>
      </c>
      <c r="P181">
        <f>sales_data_1[[#This Row],[Unit - cost]]*sales_data_1[[#This Row],[Quantity_Sold]]</f>
        <v>5145.7499999999982</v>
      </c>
    </row>
    <row r="182" spans="1:16" x14ac:dyDescent="0.3">
      <c r="A182">
        <v>1006</v>
      </c>
      <c r="B182" s="1">
        <v>45083</v>
      </c>
      <c r="C182" t="s">
        <v>13</v>
      </c>
      <c r="D182" t="s">
        <v>33</v>
      </c>
      <c r="E182">
        <v>21</v>
      </c>
      <c r="F182" t="s">
        <v>34</v>
      </c>
      <c r="G182">
        <v>1701.62</v>
      </c>
      <c r="H182">
        <v>2193.2199999999998</v>
      </c>
      <c r="I182" t="s">
        <v>29</v>
      </c>
      <c r="J182">
        <v>0.22</v>
      </c>
      <c r="K182" t="s">
        <v>26</v>
      </c>
      <c r="L182" t="s">
        <v>21</v>
      </c>
      <c r="M182" t="s">
        <v>45</v>
      </c>
      <c r="N182">
        <f>sales_data_1[[#This Row],[Unit_Price]]-sales_data_1[[#This Row],[Unit_Cost]]</f>
        <v>491.59999999999991</v>
      </c>
      <c r="O182">
        <f>sales_data_1[[#This Row],[Unit_Price]]*sales_data_1[[#This Row],[Quantity_Sold]]</f>
        <v>46057.619999999995</v>
      </c>
      <c r="P182">
        <f>sales_data_1[[#This Row],[Unit - cost]]*sales_data_1[[#This Row],[Quantity_Sold]]</f>
        <v>10323.599999999999</v>
      </c>
    </row>
    <row r="183" spans="1:16" x14ac:dyDescent="0.3">
      <c r="A183">
        <v>1028</v>
      </c>
      <c r="B183" s="1">
        <v>44973</v>
      </c>
      <c r="C183" t="s">
        <v>13</v>
      </c>
      <c r="D183" t="s">
        <v>33</v>
      </c>
      <c r="E183">
        <v>24</v>
      </c>
      <c r="F183" t="s">
        <v>34</v>
      </c>
      <c r="G183">
        <v>1969.09</v>
      </c>
      <c r="H183">
        <v>2241.96</v>
      </c>
      <c r="I183" t="s">
        <v>16</v>
      </c>
      <c r="J183">
        <v>0.02</v>
      </c>
      <c r="K183" t="s">
        <v>30</v>
      </c>
      <c r="L183" t="s">
        <v>18</v>
      </c>
      <c r="M183" t="s">
        <v>45</v>
      </c>
      <c r="N183">
        <f>sales_data_1[[#This Row],[Unit_Price]]-sales_data_1[[#This Row],[Unit_Cost]]</f>
        <v>272.87000000000012</v>
      </c>
      <c r="O183">
        <f>sales_data_1[[#This Row],[Unit_Price]]*sales_data_1[[#This Row],[Quantity_Sold]]</f>
        <v>53807.040000000001</v>
      </c>
      <c r="P183">
        <f>sales_data_1[[#This Row],[Unit - cost]]*sales_data_1[[#This Row],[Quantity_Sold]]</f>
        <v>6548.8800000000028</v>
      </c>
    </row>
    <row r="184" spans="1:16" x14ac:dyDescent="0.3">
      <c r="A184">
        <v>1028</v>
      </c>
      <c r="B184" s="1">
        <v>45250</v>
      </c>
      <c r="C184" t="s">
        <v>41</v>
      </c>
      <c r="D184" t="s">
        <v>33</v>
      </c>
      <c r="E184">
        <v>5</v>
      </c>
      <c r="F184" t="s">
        <v>25</v>
      </c>
      <c r="G184">
        <v>734.92</v>
      </c>
      <c r="H184">
        <v>991.21</v>
      </c>
      <c r="I184" t="s">
        <v>16</v>
      </c>
      <c r="J184">
        <v>0.21</v>
      </c>
      <c r="K184" t="s">
        <v>30</v>
      </c>
      <c r="L184" t="s">
        <v>18</v>
      </c>
      <c r="M184" t="s">
        <v>51</v>
      </c>
      <c r="N184">
        <f>sales_data_1[[#This Row],[Unit_Price]]-sales_data_1[[#This Row],[Unit_Cost]]</f>
        <v>256.29000000000008</v>
      </c>
      <c r="O184">
        <f>sales_data_1[[#This Row],[Unit_Price]]*sales_data_1[[#This Row],[Quantity_Sold]]</f>
        <v>4956.05</v>
      </c>
      <c r="P184">
        <f>sales_data_1[[#This Row],[Unit - cost]]*sales_data_1[[#This Row],[Quantity_Sold]]</f>
        <v>1281.4500000000003</v>
      </c>
    </row>
    <row r="185" spans="1:16" x14ac:dyDescent="0.3">
      <c r="A185">
        <v>1044</v>
      </c>
      <c r="B185" s="1">
        <v>45258</v>
      </c>
      <c r="C185" t="s">
        <v>32</v>
      </c>
      <c r="D185" t="s">
        <v>20</v>
      </c>
      <c r="E185">
        <v>6</v>
      </c>
      <c r="F185" t="s">
        <v>34</v>
      </c>
      <c r="G185">
        <v>3703.93</v>
      </c>
      <c r="H185">
        <v>3840.24</v>
      </c>
      <c r="I185" t="s">
        <v>29</v>
      </c>
      <c r="J185">
        <v>7.0000000000000007E-2</v>
      </c>
      <c r="K185" t="s">
        <v>30</v>
      </c>
      <c r="L185" t="s">
        <v>18</v>
      </c>
      <c r="M185" t="s">
        <v>36</v>
      </c>
      <c r="N185">
        <f>sales_data_1[[#This Row],[Unit_Price]]-sales_data_1[[#This Row],[Unit_Cost]]</f>
        <v>136.30999999999995</v>
      </c>
      <c r="O185">
        <f>sales_data_1[[#This Row],[Unit_Price]]*sales_data_1[[#This Row],[Quantity_Sold]]</f>
        <v>23041.439999999999</v>
      </c>
      <c r="P185">
        <f>sales_data_1[[#This Row],[Unit - cost]]*sales_data_1[[#This Row],[Quantity_Sold]]</f>
        <v>817.85999999999967</v>
      </c>
    </row>
    <row r="186" spans="1:16" x14ac:dyDescent="0.3">
      <c r="A186">
        <v>1084</v>
      </c>
      <c r="B186" s="1">
        <v>45099</v>
      </c>
      <c r="C186" t="s">
        <v>37</v>
      </c>
      <c r="D186" t="s">
        <v>14</v>
      </c>
      <c r="E186">
        <v>49</v>
      </c>
      <c r="F186" t="s">
        <v>15</v>
      </c>
      <c r="G186">
        <v>4291.97</v>
      </c>
      <c r="H186">
        <v>4645.6400000000003</v>
      </c>
      <c r="I186" t="s">
        <v>16</v>
      </c>
      <c r="J186">
        <v>0.26</v>
      </c>
      <c r="K186" t="s">
        <v>30</v>
      </c>
      <c r="L186" t="s">
        <v>18</v>
      </c>
      <c r="M186" t="s">
        <v>39</v>
      </c>
      <c r="N186">
        <f>sales_data_1[[#This Row],[Unit_Price]]-sales_data_1[[#This Row],[Unit_Cost]]</f>
        <v>353.67000000000007</v>
      </c>
      <c r="O186">
        <f>sales_data_1[[#This Row],[Unit_Price]]*sales_data_1[[#This Row],[Quantity_Sold]]</f>
        <v>227636.36000000002</v>
      </c>
      <c r="P186">
        <f>sales_data_1[[#This Row],[Unit - cost]]*sales_data_1[[#This Row],[Quantity_Sold]]</f>
        <v>17329.830000000002</v>
      </c>
    </row>
    <row r="187" spans="1:16" x14ac:dyDescent="0.3">
      <c r="A187">
        <v>1030</v>
      </c>
      <c r="B187" s="1">
        <v>45056</v>
      </c>
      <c r="C187" t="s">
        <v>13</v>
      </c>
      <c r="D187" t="s">
        <v>24</v>
      </c>
      <c r="E187">
        <v>43</v>
      </c>
      <c r="F187" t="s">
        <v>28</v>
      </c>
      <c r="G187">
        <v>4696.6400000000003</v>
      </c>
      <c r="H187">
        <v>4713.68</v>
      </c>
      <c r="I187" t="s">
        <v>16</v>
      </c>
      <c r="J187">
        <v>0.24</v>
      </c>
      <c r="K187" t="s">
        <v>26</v>
      </c>
      <c r="L187" t="s">
        <v>18</v>
      </c>
      <c r="M187" t="s">
        <v>31</v>
      </c>
      <c r="N187">
        <f>sales_data_1[[#This Row],[Unit_Price]]-sales_data_1[[#This Row],[Unit_Cost]]</f>
        <v>17.039999999999964</v>
      </c>
      <c r="O187">
        <f>sales_data_1[[#This Row],[Unit_Price]]*sales_data_1[[#This Row],[Quantity_Sold]]</f>
        <v>202688.24000000002</v>
      </c>
      <c r="P187">
        <f>sales_data_1[[#This Row],[Unit - cost]]*sales_data_1[[#This Row],[Quantity_Sold]]</f>
        <v>732.71999999999844</v>
      </c>
    </row>
    <row r="188" spans="1:16" x14ac:dyDescent="0.3">
      <c r="A188">
        <v>1062</v>
      </c>
      <c r="B188" s="1">
        <v>45021</v>
      </c>
      <c r="C188" t="s">
        <v>13</v>
      </c>
      <c r="D188" t="s">
        <v>14</v>
      </c>
      <c r="E188">
        <v>48</v>
      </c>
      <c r="F188" t="s">
        <v>25</v>
      </c>
      <c r="G188">
        <v>2487.19</v>
      </c>
      <c r="H188">
        <v>2521.4500000000003</v>
      </c>
      <c r="I188" t="s">
        <v>29</v>
      </c>
      <c r="J188">
        <v>0.28999999999999998</v>
      </c>
      <c r="K188" t="s">
        <v>17</v>
      </c>
      <c r="L188" t="s">
        <v>18</v>
      </c>
      <c r="M188" t="s">
        <v>19</v>
      </c>
      <c r="N188">
        <f>sales_data_1[[#This Row],[Unit_Price]]-sales_data_1[[#This Row],[Unit_Cost]]</f>
        <v>34.260000000000218</v>
      </c>
      <c r="O188">
        <f>sales_data_1[[#This Row],[Unit_Price]]*sales_data_1[[#This Row],[Quantity_Sold]]</f>
        <v>121029.6</v>
      </c>
      <c r="P188">
        <f>sales_data_1[[#This Row],[Unit - cost]]*sales_data_1[[#This Row],[Quantity_Sold]]</f>
        <v>1644.4800000000105</v>
      </c>
    </row>
    <row r="189" spans="1:16" x14ac:dyDescent="0.3">
      <c r="A189">
        <v>1075</v>
      </c>
      <c r="B189" s="1">
        <v>45041</v>
      </c>
      <c r="C189" t="s">
        <v>23</v>
      </c>
      <c r="D189" t="s">
        <v>20</v>
      </c>
      <c r="E189">
        <v>44</v>
      </c>
      <c r="F189" t="s">
        <v>15</v>
      </c>
      <c r="G189">
        <v>3519.29</v>
      </c>
      <c r="H189">
        <v>3822.98</v>
      </c>
      <c r="I189" t="s">
        <v>16</v>
      </c>
      <c r="J189">
        <v>0.27</v>
      </c>
      <c r="K189" t="s">
        <v>26</v>
      </c>
      <c r="L189" t="s">
        <v>18</v>
      </c>
      <c r="M189" t="s">
        <v>46</v>
      </c>
      <c r="N189">
        <f>sales_data_1[[#This Row],[Unit_Price]]-sales_data_1[[#This Row],[Unit_Cost]]</f>
        <v>303.69000000000005</v>
      </c>
      <c r="O189">
        <f>sales_data_1[[#This Row],[Unit_Price]]*sales_data_1[[#This Row],[Quantity_Sold]]</f>
        <v>168211.12</v>
      </c>
      <c r="P189">
        <f>sales_data_1[[#This Row],[Unit - cost]]*sales_data_1[[#This Row],[Quantity_Sold]]</f>
        <v>13362.360000000002</v>
      </c>
    </row>
    <row r="190" spans="1:16" x14ac:dyDescent="0.3">
      <c r="A190">
        <v>1092</v>
      </c>
      <c r="B190" s="1">
        <v>45169</v>
      </c>
      <c r="C190" t="s">
        <v>37</v>
      </c>
      <c r="D190" t="s">
        <v>24</v>
      </c>
      <c r="E190">
        <v>47</v>
      </c>
      <c r="F190" t="s">
        <v>25</v>
      </c>
      <c r="G190">
        <v>4284.9799999999996</v>
      </c>
      <c r="H190">
        <v>4462.3999999999996</v>
      </c>
      <c r="I190" t="s">
        <v>29</v>
      </c>
      <c r="J190">
        <v>0.28000000000000003</v>
      </c>
      <c r="K190" t="s">
        <v>30</v>
      </c>
      <c r="L190" t="s">
        <v>21</v>
      </c>
      <c r="M190" t="s">
        <v>38</v>
      </c>
      <c r="N190">
        <f>sales_data_1[[#This Row],[Unit_Price]]-sales_data_1[[#This Row],[Unit_Cost]]</f>
        <v>177.42000000000007</v>
      </c>
      <c r="O190">
        <f>sales_data_1[[#This Row],[Unit_Price]]*sales_data_1[[#This Row],[Quantity_Sold]]</f>
        <v>209732.8</v>
      </c>
      <c r="P190">
        <f>sales_data_1[[#This Row],[Unit - cost]]*sales_data_1[[#This Row],[Quantity_Sold]]</f>
        <v>8338.7400000000034</v>
      </c>
    </row>
    <row r="191" spans="1:16" x14ac:dyDescent="0.3">
      <c r="A191">
        <v>1089</v>
      </c>
      <c r="B191" s="1">
        <v>45218</v>
      </c>
      <c r="C191" t="s">
        <v>37</v>
      </c>
      <c r="D191" t="s">
        <v>20</v>
      </c>
      <c r="E191">
        <v>23</v>
      </c>
      <c r="F191" t="s">
        <v>25</v>
      </c>
      <c r="G191">
        <v>2120.54</v>
      </c>
      <c r="H191">
        <v>2597.67</v>
      </c>
      <c r="I191" t="s">
        <v>16</v>
      </c>
      <c r="J191">
        <v>0.26</v>
      </c>
      <c r="K191" t="s">
        <v>30</v>
      </c>
      <c r="L191" t="s">
        <v>21</v>
      </c>
      <c r="M191" t="s">
        <v>40</v>
      </c>
      <c r="N191">
        <f>sales_data_1[[#This Row],[Unit_Price]]-sales_data_1[[#This Row],[Unit_Cost]]</f>
        <v>477.13000000000011</v>
      </c>
      <c r="O191">
        <f>sales_data_1[[#This Row],[Unit_Price]]*sales_data_1[[#This Row],[Quantity_Sold]]</f>
        <v>59746.41</v>
      </c>
      <c r="P191">
        <f>sales_data_1[[#This Row],[Unit - cost]]*sales_data_1[[#This Row],[Quantity_Sold]]</f>
        <v>10973.990000000002</v>
      </c>
    </row>
    <row r="192" spans="1:16" x14ac:dyDescent="0.3">
      <c r="A192">
        <v>1062</v>
      </c>
      <c r="B192" s="1">
        <v>45208</v>
      </c>
      <c r="C192" t="s">
        <v>13</v>
      </c>
      <c r="D192" t="s">
        <v>33</v>
      </c>
      <c r="E192">
        <v>4</v>
      </c>
      <c r="F192" t="s">
        <v>34</v>
      </c>
      <c r="G192">
        <v>1581.59</v>
      </c>
      <c r="H192">
        <v>2034.1499999999999</v>
      </c>
      <c r="I192" t="s">
        <v>16</v>
      </c>
      <c r="J192">
        <v>0.21</v>
      </c>
      <c r="K192" t="s">
        <v>17</v>
      </c>
      <c r="L192" t="s">
        <v>18</v>
      </c>
      <c r="M192" t="s">
        <v>45</v>
      </c>
      <c r="N192">
        <f>sales_data_1[[#This Row],[Unit_Price]]-sales_data_1[[#This Row],[Unit_Cost]]</f>
        <v>452.55999999999995</v>
      </c>
      <c r="O192">
        <f>sales_data_1[[#This Row],[Unit_Price]]*sales_data_1[[#This Row],[Quantity_Sold]]</f>
        <v>8136.5999999999995</v>
      </c>
      <c r="P192">
        <f>sales_data_1[[#This Row],[Unit - cost]]*sales_data_1[[#This Row],[Quantity_Sold]]</f>
        <v>1810.2399999999998</v>
      </c>
    </row>
    <row r="193" spans="1:16" x14ac:dyDescent="0.3">
      <c r="A193">
        <v>1097</v>
      </c>
      <c r="B193" s="1">
        <v>45225</v>
      </c>
      <c r="C193" t="s">
        <v>41</v>
      </c>
      <c r="D193" t="s">
        <v>33</v>
      </c>
      <c r="E193">
        <v>27</v>
      </c>
      <c r="F193" t="s">
        <v>34</v>
      </c>
      <c r="G193">
        <v>4686.79</v>
      </c>
      <c r="H193">
        <v>5046.51</v>
      </c>
      <c r="I193" t="s">
        <v>16</v>
      </c>
      <c r="J193">
        <v>0.05</v>
      </c>
      <c r="K193" t="s">
        <v>30</v>
      </c>
      <c r="L193" t="s">
        <v>21</v>
      </c>
      <c r="M193" t="s">
        <v>51</v>
      </c>
      <c r="N193">
        <f>sales_data_1[[#This Row],[Unit_Price]]-sales_data_1[[#This Row],[Unit_Cost]]</f>
        <v>359.72000000000025</v>
      </c>
      <c r="O193">
        <f>sales_data_1[[#This Row],[Unit_Price]]*sales_data_1[[#This Row],[Quantity_Sold]]</f>
        <v>136255.77000000002</v>
      </c>
      <c r="P193">
        <f>sales_data_1[[#This Row],[Unit - cost]]*sales_data_1[[#This Row],[Quantity_Sold]]</f>
        <v>9712.440000000006</v>
      </c>
    </row>
    <row r="194" spans="1:16" x14ac:dyDescent="0.3">
      <c r="A194">
        <v>1001</v>
      </c>
      <c r="B194" s="1">
        <v>45209</v>
      </c>
      <c r="C194" t="s">
        <v>23</v>
      </c>
      <c r="D194" t="s">
        <v>20</v>
      </c>
      <c r="E194">
        <v>18</v>
      </c>
      <c r="F194" t="s">
        <v>15</v>
      </c>
      <c r="G194">
        <v>2602.6</v>
      </c>
      <c r="H194">
        <v>3013.49</v>
      </c>
      <c r="I194" t="s">
        <v>16</v>
      </c>
      <c r="J194">
        <v>0.08</v>
      </c>
      <c r="K194" t="s">
        <v>26</v>
      </c>
      <c r="L194" t="s">
        <v>18</v>
      </c>
      <c r="M194" t="s">
        <v>46</v>
      </c>
      <c r="N194">
        <f>sales_data_1[[#This Row],[Unit_Price]]-sales_data_1[[#This Row],[Unit_Cost]]</f>
        <v>410.88999999999987</v>
      </c>
      <c r="O194">
        <f>sales_data_1[[#This Row],[Unit_Price]]*sales_data_1[[#This Row],[Quantity_Sold]]</f>
        <v>54242.819999999992</v>
      </c>
      <c r="P194">
        <f>sales_data_1[[#This Row],[Unit - cost]]*sales_data_1[[#This Row],[Quantity_Sold]]</f>
        <v>7396.0199999999977</v>
      </c>
    </row>
    <row r="195" spans="1:16" x14ac:dyDescent="0.3">
      <c r="A195">
        <v>1027</v>
      </c>
      <c r="B195" s="1">
        <v>44995</v>
      </c>
      <c r="C195" t="s">
        <v>37</v>
      </c>
      <c r="D195" t="s">
        <v>24</v>
      </c>
      <c r="E195">
        <v>21</v>
      </c>
      <c r="F195" t="s">
        <v>25</v>
      </c>
      <c r="G195">
        <v>2511.41</v>
      </c>
      <c r="H195">
        <v>2848.3999999999996</v>
      </c>
      <c r="I195" t="s">
        <v>16</v>
      </c>
      <c r="J195">
        <v>0.06</v>
      </c>
      <c r="K195" t="s">
        <v>26</v>
      </c>
      <c r="L195" t="s">
        <v>18</v>
      </c>
      <c r="M195" t="s">
        <v>38</v>
      </c>
      <c r="N195">
        <f>sales_data_1[[#This Row],[Unit_Price]]-sales_data_1[[#This Row],[Unit_Cost]]</f>
        <v>336.98999999999978</v>
      </c>
      <c r="O195">
        <f>sales_data_1[[#This Row],[Unit_Price]]*sales_data_1[[#This Row],[Quantity_Sold]]</f>
        <v>59816.399999999994</v>
      </c>
      <c r="P195">
        <f>sales_data_1[[#This Row],[Unit - cost]]*sales_data_1[[#This Row],[Quantity_Sold]]</f>
        <v>7076.7899999999954</v>
      </c>
    </row>
    <row r="196" spans="1:16" x14ac:dyDescent="0.3">
      <c r="A196">
        <v>1062</v>
      </c>
      <c r="B196" s="1">
        <v>45074</v>
      </c>
      <c r="C196" t="s">
        <v>13</v>
      </c>
      <c r="D196" t="s">
        <v>24</v>
      </c>
      <c r="E196">
        <v>28</v>
      </c>
      <c r="F196" t="s">
        <v>34</v>
      </c>
      <c r="G196">
        <v>933.16</v>
      </c>
      <c r="H196">
        <v>1004.6999999999999</v>
      </c>
      <c r="I196" t="s">
        <v>16</v>
      </c>
      <c r="J196">
        <v>0.18</v>
      </c>
      <c r="K196" t="s">
        <v>26</v>
      </c>
      <c r="L196" t="s">
        <v>18</v>
      </c>
      <c r="M196" t="s">
        <v>31</v>
      </c>
      <c r="N196">
        <f>sales_data_1[[#This Row],[Unit_Price]]-sales_data_1[[#This Row],[Unit_Cost]]</f>
        <v>71.539999999999964</v>
      </c>
      <c r="O196">
        <f>sales_data_1[[#This Row],[Unit_Price]]*sales_data_1[[#This Row],[Quantity_Sold]]</f>
        <v>28131.599999999999</v>
      </c>
      <c r="P196">
        <f>sales_data_1[[#This Row],[Unit - cost]]*sales_data_1[[#This Row],[Quantity_Sold]]</f>
        <v>2003.119999999999</v>
      </c>
    </row>
    <row r="197" spans="1:16" x14ac:dyDescent="0.3">
      <c r="A197">
        <v>1077</v>
      </c>
      <c r="B197" s="1">
        <v>44937</v>
      </c>
      <c r="C197" t="s">
        <v>37</v>
      </c>
      <c r="D197" t="s">
        <v>14</v>
      </c>
      <c r="E197">
        <v>35</v>
      </c>
      <c r="F197" t="s">
        <v>34</v>
      </c>
      <c r="G197">
        <v>585.37</v>
      </c>
      <c r="H197">
        <v>970.49</v>
      </c>
      <c r="I197" t="s">
        <v>16</v>
      </c>
      <c r="J197">
        <v>0.15</v>
      </c>
      <c r="K197" t="s">
        <v>26</v>
      </c>
      <c r="L197" t="s">
        <v>21</v>
      </c>
      <c r="M197" t="s">
        <v>39</v>
      </c>
      <c r="N197">
        <f>sales_data_1[[#This Row],[Unit_Price]]-sales_data_1[[#This Row],[Unit_Cost]]</f>
        <v>385.12</v>
      </c>
      <c r="O197">
        <f>sales_data_1[[#This Row],[Unit_Price]]*sales_data_1[[#This Row],[Quantity_Sold]]</f>
        <v>33967.15</v>
      </c>
      <c r="P197">
        <f>sales_data_1[[#This Row],[Unit - cost]]*sales_data_1[[#This Row],[Quantity_Sold]]</f>
        <v>13479.2</v>
      </c>
    </row>
    <row r="198" spans="1:16" x14ac:dyDescent="0.3">
      <c r="A198">
        <v>1003</v>
      </c>
      <c r="B198" s="1">
        <v>45180</v>
      </c>
      <c r="C198" t="s">
        <v>23</v>
      </c>
      <c r="D198" t="s">
        <v>33</v>
      </c>
      <c r="E198">
        <v>22</v>
      </c>
      <c r="F198" t="s">
        <v>25</v>
      </c>
      <c r="G198">
        <v>4218.43</v>
      </c>
      <c r="H198">
        <v>4331.42</v>
      </c>
      <c r="I198" t="s">
        <v>29</v>
      </c>
      <c r="J198">
        <v>0.26</v>
      </c>
      <c r="K198" t="s">
        <v>26</v>
      </c>
      <c r="L198" t="s">
        <v>18</v>
      </c>
      <c r="M198" t="s">
        <v>49</v>
      </c>
      <c r="N198">
        <f>sales_data_1[[#This Row],[Unit_Price]]-sales_data_1[[#This Row],[Unit_Cost]]</f>
        <v>112.98999999999978</v>
      </c>
      <c r="O198">
        <f>sales_data_1[[#This Row],[Unit_Price]]*sales_data_1[[#This Row],[Quantity_Sold]]</f>
        <v>95291.24</v>
      </c>
      <c r="P198">
        <f>sales_data_1[[#This Row],[Unit - cost]]*sales_data_1[[#This Row],[Quantity_Sold]]</f>
        <v>2485.7799999999952</v>
      </c>
    </row>
    <row r="199" spans="1:16" x14ac:dyDescent="0.3">
      <c r="A199">
        <v>1070</v>
      </c>
      <c r="B199" s="1">
        <v>45256</v>
      </c>
      <c r="C199" t="s">
        <v>23</v>
      </c>
      <c r="D199" t="s">
        <v>14</v>
      </c>
      <c r="E199">
        <v>40</v>
      </c>
      <c r="F199" t="s">
        <v>15</v>
      </c>
      <c r="G199">
        <v>3089.96</v>
      </c>
      <c r="H199">
        <v>3258.45</v>
      </c>
      <c r="I199" t="s">
        <v>29</v>
      </c>
      <c r="J199">
        <v>0.28999999999999998</v>
      </c>
      <c r="K199" t="s">
        <v>17</v>
      </c>
      <c r="L199" t="s">
        <v>18</v>
      </c>
      <c r="M199" t="s">
        <v>44</v>
      </c>
      <c r="N199">
        <f>sales_data_1[[#This Row],[Unit_Price]]-sales_data_1[[#This Row],[Unit_Cost]]</f>
        <v>168.48999999999978</v>
      </c>
      <c r="O199">
        <f>sales_data_1[[#This Row],[Unit_Price]]*sales_data_1[[#This Row],[Quantity_Sold]]</f>
        <v>130338</v>
      </c>
      <c r="P199">
        <f>sales_data_1[[#This Row],[Unit - cost]]*sales_data_1[[#This Row],[Quantity_Sold]]</f>
        <v>6739.5999999999913</v>
      </c>
    </row>
    <row r="200" spans="1:16" x14ac:dyDescent="0.3">
      <c r="A200">
        <v>1072</v>
      </c>
      <c r="B200" s="1">
        <v>45286</v>
      </c>
      <c r="C200" t="s">
        <v>32</v>
      </c>
      <c r="D200" t="s">
        <v>14</v>
      </c>
      <c r="E200">
        <v>23</v>
      </c>
      <c r="F200" t="s">
        <v>15</v>
      </c>
      <c r="G200">
        <v>1662.83</v>
      </c>
      <c r="H200">
        <v>2074.25</v>
      </c>
      <c r="I200" t="s">
        <v>29</v>
      </c>
      <c r="J200">
        <v>0.12</v>
      </c>
      <c r="K200" t="s">
        <v>26</v>
      </c>
      <c r="L200" t="s">
        <v>18</v>
      </c>
      <c r="M200" t="s">
        <v>52</v>
      </c>
      <c r="N200">
        <f>sales_data_1[[#This Row],[Unit_Price]]-sales_data_1[[#This Row],[Unit_Cost]]</f>
        <v>411.42000000000007</v>
      </c>
      <c r="O200">
        <f>sales_data_1[[#This Row],[Unit_Price]]*sales_data_1[[#This Row],[Quantity_Sold]]</f>
        <v>47707.75</v>
      </c>
      <c r="P200">
        <f>sales_data_1[[#This Row],[Unit - cost]]*sales_data_1[[#This Row],[Quantity_Sold]]</f>
        <v>9462.6600000000017</v>
      </c>
    </row>
    <row r="201" spans="1:16" x14ac:dyDescent="0.3">
      <c r="A201">
        <v>1027</v>
      </c>
      <c r="B201" s="1">
        <v>44964</v>
      </c>
      <c r="C201" t="s">
        <v>13</v>
      </c>
      <c r="D201" t="s">
        <v>20</v>
      </c>
      <c r="E201">
        <v>3</v>
      </c>
      <c r="F201" t="s">
        <v>25</v>
      </c>
      <c r="G201">
        <v>999.09</v>
      </c>
      <c r="H201">
        <v>1271.99</v>
      </c>
      <c r="I201" t="s">
        <v>29</v>
      </c>
      <c r="J201">
        <v>0.15</v>
      </c>
      <c r="K201" t="s">
        <v>30</v>
      </c>
      <c r="L201" t="s">
        <v>18</v>
      </c>
      <c r="M201" t="s">
        <v>22</v>
      </c>
      <c r="N201">
        <f>sales_data_1[[#This Row],[Unit_Price]]-sales_data_1[[#This Row],[Unit_Cost]]</f>
        <v>272.89999999999998</v>
      </c>
      <c r="O201">
        <f>sales_data_1[[#This Row],[Unit_Price]]*sales_data_1[[#This Row],[Quantity_Sold]]</f>
        <v>3815.9700000000003</v>
      </c>
      <c r="P201">
        <f>sales_data_1[[#This Row],[Unit - cost]]*sales_data_1[[#This Row],[Quantity_Sold]]</f>
        <v>818.69999999999993</v>
      </c>
    </row>
    <row r="202" spans="1:16" x14ac:dyDescent="0.3">
      <c r="A202">
        <v>1009</v>
      </c>
      <c r="B202" s="1">
        <v>45060</v>
      </c>
      <c r="C202" t="s">
        <v>23</v>
      </c>
      <c r="D202" t="s">
        <v>20</v>
      </c>
      <c r="E202">
        <v>40</v>
      </c>
      <c r="F202" t="s">
        <v>15</v>
      </c>
      <c r="G202">
        <v>2799.71</v>
      </c>
      <c r="H202">
        <v>3231.08</v>
      </c>
      <c r="I202" t="s">
        <v>16</v>
      </c>
      <c r="J202">
        <v>0.28999999999999998</v>
      </c>
      <c r="K202" t="s">
        <v>30</v>
      </c>
      <c r="L202" t="s">
        <v>21</v>
      </c>
      <c r="M202" t="s">
        <v>46</v>
      </c>
      <c r="N202">
        <f>sales_data_1[[#This Row],[Unit_Price]]-sales_data_1[[#This Row],[Unit_Cost]]</f>
        <v>431.36999999999989</v>
      </c>
      <c r="O202">
        <f>sales_data_1[[#This Row],[Unit_Price]]*sales_data_1[[#This Row],[Quantity_Sold]]</f>
        <v>129243.2</v>
      </c>
      <c r="P202">
        <f>sales_data_1[[#This Row],[Unit - cost]]*sales_data_1[[#This Row],[Quantity_Sold]]</f>
        <v>17254.799999999996</v>
      </c>
    </row>
    <row r="203" spans="1:16" x14ac:dyDescent="0.3">
      <c r="A203">
        <v>1062</v>
      </c>
      <c r="B203" s="1">
        <v>45126</v>
      </c>
      <c r="C203" t="s">
        <v>32</v>
      </c>
      <c r="D203" t="s">
        <v>14</v>
      </c>
      <c r="E203">
        <v>10</v>
      </c>
      <c r="F203" t="s">
        <v>34</v>
      </c>
      <c r="G203">
        <v>2940.4</v>
      </c>
      <c r="H203">
        <v>3054.79</v>
      </c>
      <c r="I203" t="s">
        <v>16</v>
      </c>
      <c r="J203">
        <v>0.08</v>
      </c>
      <c r="K203" t="s">
        <v>30</v>
      </c>
      <c r="L203" t="s">
        <v>18</v>
      </c>
      <c r="M203" t="s">
        <v>52</v>
      </c>
      <c r="N203">
        <f>sales_data_1[[#This Row],[Unit_Price]]-sales_data_1[[#This Row],[Unit_Cost]]</f>
        <v>114.38999999999987</v>
      </c>
      <c r="O203">
        <f>sales_data_1[[#This Row],[Unit_Price]]*sales_data_1[[#This Row],[Quantity_Sold]]</f>
        <v>30547.9</v>
      </c>
      <c r="P203">
        <f>sales_data_1[[#This Row],[Unit - cost]]*sales_data_1[[#This Row],[Quantity_Sold]]</f>
        <v>1143.8999999999987</v>
      </c>
    </row>
    <row r="204" spans="1:16" x14ac:dyDescent="0.3">
      <c r="A204">
        <v>1037</v>
      </c>
      <c r="B204" s="1">
        <v>44949</v>
      </c>
      <c r="C204" t="s">
        <v>32</v>
      </c>
      <c r="D204" t="s">
        <v>33</v>
      </c>
      <c r="E204">
        <v>25</v>
      </c>
      <c r="F204" t="s">
        <v>25</v>
      </c>
      <c r="G204">
        <v>1074.6199999999999</v>
      </c>
      <c r="H204">
        <v>1382.4299999999998</v>
      </c>
      <c r="I204" t="s">
        <v>16</v>
      </c>
      <c r="J204">
        <v>0.24</v>
      </c>
      <c r="K204" t="s">
        <v>30</v>
      </c>
      <c r="L204" t="s">
        <v>21</v>
      </c>
      <c r="M204" t="s">
        <v>35</v>
      </c>
      <c r="N204">
        <f>sales_data_1[[#This Row],[Unit_Price]]-sales_data_1[[#This Row],[Unit_Cost]]</f>
        <v>307.80999999999995</v>
      </c>
      <c r="O204">
        <f>sales_data_1[[#This Row],[Unit_Price]]*sales_data_1[[#This Row],[Quantity_Sold]]</f>
        <v>34560.749999999993</v>
      </c>
      <c r="P204">
        <f>sales_data_1[[#This Row],[Unit - cost]]*sales_data_1[[#This Row],[Quantity_Sold]]</f>
        <v>7695.2499999999982</v>
      </c>
    </row>
    <row r="205" spans="1:16" x14ac:dyDescent="0.3">
      <c r="A205">
        <v>1097</v>
      </c>
      <c r="B205" s="1">
        <v>45229</v>
      </c>
      <c r="C205" t="s">
        <v>37</v>
      </c>
      <c r="D205" t="s">
        <v>20</v>
      </c>
      <c r="E205">
        <v>49</v>
      </c>
      <c r="F205" t="s">
        <v>34</v>
      </c>
      <c r="G205">
        <v>4264.46</v>
      </c>
      <c r="H205">
        <v>4315.5200000000004</v>
      </c>
      <c r="I205" t="s">
        <v>29</v>
      </c>
      <c r="J205">
        <v>7.0000000000000007E-2</v>
      </c>
      <c r="K205" t="s">
        <v>17</v>
      </c>
      <c r="L205" t="s">
        <v>21</v>
      </c>
      <c r="M205" t="s">
        <v>40</v>
      </c>
      <c r="N205">
        <f>sales_data_1[[#This Row],[Unit_Price]]-sales_data_1[[#This Row],[Unit_Cost]]</f>
        <v>51.0600000000004</v>
      </c>
      <c r="O205">
        <f>sales_data_1[[#This Row],[Unit_Price]]*sales_data_1[[#This Row],[Quantity_Sold]]</f>
        <v>211460.48000000001</v>
      </c>
      <c r="P205">
        <f>sales_data_1[[#This Row],[Unit - cost]]*sales_data_1[[#This Row],[Quantity_Sold]]</f>
        <v>2501.9400000000196</v>
      </c>
    </row>
    <row r="206" spans="1:16" x14ac:dyDescent="0.3">
      <c r="A206">
        <v>1051</v>
      </c>
      <c r="B206" s="1">
        <v>45272</v>
      </c>
      <c r="C206" t="s">
        <v>37</v>
      </c>
      <c r="D206" t="s">
        <v>14</v>
      </c>
      <c r="E206">
        <v>8</v>
      </c>
      <c r="F206" t="s">
        <v>28</v>
      </c>
      <c r="G206">
        <v>467.11</v>
      </c>
      <c r="H206">
        <v>792.21</v>
      </c>
      <c r="I206" t="s">
        <v>29</v>
      </c>
      <c r="J206">
        <v>0.2</v>
      </c>
      <c r="K206" t="s">
        <v>30</v>
      </c>
      <c r="L206" t="s">
        <v>18</v>
      </c>
      <c r="M206" t="s">
        <v>39</v>
      </c>
      <c r="N206">
        <f>sales_data_1[[#This Row],[Unit_Price]]-sales_data_1[[#This Row],[Unit_Cost]]</f>
        <v>325.10000000000002</v>
      </c>
      <c r="O206">
        <f>sales_data_1[[#This Row],[Unit_Price]]*sales_data_1[[#This Row],[Quantity_Sold]]</f>
        <v>6337.68</v>
      </c>
      <c r="P206">
        <f>sales_data_1[[#This Row],[Unit - cost]]*sales_data_1[[#This Row],[Quantity_Sold]]</f>
        <v>2600.8000000000002</v>
      </c>
    </row>
    <row r="207" spans="1:16" x14ac:dyDescent="0.3">
      <c r="A207">
        <v>1044</v>
      </c>
      <c r="B207" s="1">
        <v>45228</v>
      </c>
      <c r="C207" t="s">
        <v>32</v>
      </c>
      <c r="D207" t="s">
        <v>14</v>
      </c>
      <c r="E207">
        <v>11</v>
      </c>
      <c r="F207" t="s">
        <v>28</v>
      </c>
      <c r="G207">
        <v>1812.66</v>
      </c>
      <c r="H207">
        <v>2196.3000000000002</v>
      </c>
      <c r="I207" t="s">
        <v>29</v>
      </c>
      <c r="J207">
        <v>0.08</v>
      </c>
      <c r="K207" t="s">
        <v>17</v>
      </c>
      <c r="L207" t="s">
        <v>18</v>
      </c>
      <c r="M207" t="s">
        <v>52</v>
      </c>
      <c r="N207">
        <f>sales_data_1[[#This Row],[Unit_Price]]-sales_data_1[[#This Row],[Unit_Cost]]</f>
        <v>383.6400000000001</v>
      </c>
      <c r="O207">
        <f>sales_data_1[[#This Row],[Unit_Price]]*sales_data_1[[#This Row],[Quantity_Sold]]</f>
        <v>24159.300000000003</v>
      </c>
      <c r="P207">
        <f>sales_data_1[[#This Row],[Unit - cost]]*sales_data_1[[#This Row],[Quantity_Sold]]</f>
        <v>4220.0400000000009</v>
      </c>
    </row>
    <row r="208" spans="1:16" x14ac:dyDescent="0.3">
      <c r="A208">
        <v>1024</v>
      </c>
      <c r="B208" s="1">
        <v>45289</v>
      </c>
      <c r="C208" t="s">
        <v>37</v>
      </c>
      <c r="D208" t="s">
        <v>14</v>
      </c>
      <c r="E208">
        <v>5</v>
      </c>
      <c r="F208" t="s">
        <v>15</v>
      </c>
      <c r="G208">
        <v>3417.9</v>
      </c>
      <c r="H208">
        <v>3714.52</v>
      </c>
      <c r="I208" t="s">
        <v>16</v>
      </c>
      <c r="J208">
        <v>0.27</v>
      </c>
      <c r="K208" t="s">
        <v>30</v>
      </c>
      <c r="L208" t="s">
        <v>21</v>
      </c>
      <c r="M208" t="s">
        <v>39</v>
      </c>
      <c r="N208">
        <f>sales_data_1[[#This Row],[Unit_Price]]-sales_data_1[[#This Row],[Unit_Cost]]</f>
        <v>296.61999999999989</v>
      </c>
      <c r="O208">
        <f>sales_data_1[[#This Row],[Unit_Price]]*sales_data_1[[#This Row],[Quantity_Sold]]</f>
        <v>18572.599999999999</v>
      </c>
      <c r="P208">
        <f>sales_data_1[[#This Row],[Unit - cost]]*sales_data_1[[#This Row],[Quantity_Sold]]</f>
        <v>1483.0999999999995</v>
      </c>
    </row>
    <row r="209" spans="1:16" x14ac:dyDescent="0.3">
      <c r="A209">
        <v>1079</v>
      </c>
      <c r="B209" s="1">
        <v>45144</v>
      </c>
      <c r="C209" t="s">
        <v>23</v>
      </c>
      <c r="D209" t="s">
        <v>14</v>
      </c>
      <c r="E209">
        <v>45</v>
      </c>
      <c r="F209" t="s">
        <v>28</v>
      </c>
      <c r="G209">
        <v>1406.9</v>
      </c>
      <c r="H209">
        <v>1547.3500000000001</v>
      </c>
      <c r="I209" t="s">
        <v>29</v>
      </c>
      <c r="J209">
        <v>0.17</v>
      </c>
      <c r="K209" t="s">
        <v>17</v>
      </c>
      <c r="L209" t="s">
        <v>21</v>
      </c>
      <c r="M209" t="s">
        <v>44</v>
      </c>
      <c r="N209">
        <f>sales_data_1[[#This Row],[Unit_Price]]-sales_data_1[[#This Row],[Unit_Cost]]</f>
        <v>140.45000000000005</v>
      </c>
      <c r="O209">
        <f>sales_data_1[[#This Row],[Unit_Price]]*sales_data_1[[#This Row],[Quantity_Sold]]</f>
        <v>69630.75</v>
      </c>
      <c r="P209">
        <f>sales_data_1[[#This Row],[Unit - cost]]*sales_data_1[[#This Row],[Quantity_Sold]]</f>
        <v>6320.2500000000018</v>
      </c>
    </row>
    <row r="210" spans="1:16" x14ac:dyDescent="0.3">
      <c r="A210">
        <v>1059</v>
      </c>
      <c r="B210" s="1">
        <v>45067</v>
      </c>
      <c r="C210" t="s">
        <v>41</v>
      </c>
      <c r="D210" t="s">
        <v>14</v>
      </c>
      <c r="E210">
        <v>37</v>
      </c>
      <c r="F210" t="s">
        <v>34</v>
      </c>
      <c r="G210">
        <v>4146.99</v>
      </c>
      <c r="H210">
        <v>4172.3499999999995</v>
      </c>
      <c r="I210" t="s">
        <v>16</v>
      </c>
      <c r="J210">
        <v>0.06</v>
      </c>
      <c r="K210" t="s">
        <v>17</v>
      </c>
      <c r="L210" t="s">
        <v>21</v>
      </c>
      <c r="M210" t="s">
        <v>48</v>
      </c>
      <c r="N210">
        <f>sales_data_1[[#This Row],[Unit_Price]]-sales_data_1[[#This Row],[Unit_Cost]]</f>
        <v>25.359999999999673</v>
      </c>
      <c r="O210">
        <f>sales_data_1[[#This Row],[Unit_Price]]*sales_data_1[[#This Row],[Quantity_Sold]]</f>
        <v>154376.94999999998</v>
      </c>
      <c r="P210">
        <f>sales_data_1[[#This Row],[Unit - cost]]*sales_data_1[[#This Row],[Quantity_Sold]]</f>
        <v>938.31999999998789</v>
      </c>
    </row>
    <row r="211" spans="1:16" x14ac:dyDescent="0.3">
      <c r="A211">
        <v>1032</v>
      </c>
      <c r="B211" s="1">
        <v>45030</v>
      </c>
      <c r="C211" t="s">
        <v>23</v>
      </c>
      <c r="D211" t="s">
        <v>14</v>
      </c>
      <c r="E211">
        <v>45</v>
      </c>
      <c r="F211" t="s">
        <v>28</v>
      </c>
      <c r="G211">
        <v>3712.35</v>
      </c>
      <c r="H211">
        <v>3780.88</v>
      </c>
      <c r="I211" t="s">
        <v>29</v>
      </c>
      <c r="J211">
        <v>7.0000000000000007E-2</v>
      </c>
      <c r="K211" t="s">
        <v>17</v>
      </c>
      <c r="L211" t="s">
        <v>21</v>
      </c>
      <c r="M211" t="s">
        <v>44</v>
      </c>
      <c r="N211">
        <f>sales_data_1[[#This Row],[Unit_Price]]-sales_data_1[[#This Row],[Unit_Cost]]</f>
        <v>68.5300000000002</v>
      </c>
      <c r="O211">
        <f>sales_data_1[[#This Row],[Unit_Price]]*sales_data_1[[#This Row],[Quantity_Sold]]</f>
        <v>170139.6</v>
      </c>
      <c r="P211">
        <f>sales_data_1[[#This Row],[Unit - cost]]*sales_data_1[[#This Row],[Quantity_Sold]]</f>
        <v>3083.850000000009</v>
      </c>
    </row>
    <row r="212" spans="1:16" x14ac:dyDescent="0.3">
      <c r="A212">
        <v>1096</v>
      </c>
      <c r="B212" s="1">
        <v>45136</v>
      </c>
      <c r="C212" t="s">
        <v>32</v>
      </c>
      <c r="D212" t="s">
        <v>20</v>
      </c>
      <c r="E212">
        <v>38</v>
      </c>
      <c r="F212" t="s">
        <v>34</v>
      </c>
      <c r="G212">
        <v>3955.66</v>
      </c>
      <c r="H212">
        <v>4270.59</v>
      </c>
      <c r="I212" t="s">
        <v>16</v>
      </c>
      <c r="J212">
        <v>0.15</v>
      </c>
      <c r="K212" t="s">
        <v>30</v>
      </c>
      <c r="L212" t="s">
        <v>18</v>
      </c>
      <c r="M212" t="s">
        <v>36</v>
      </c>
      <c r="N212">
        <f>sales_data_1[[#This Row],[Unit_Price]]-sales_data_1[[#This Row],[Unit_Cost]]</f>
        <v>314.93000000000029</v>
      </c>
      <c r="O212">
        <f>sales_data_1[[#This Row],[Unit_Price]]*sales_data_1[[#This Row],[Quantity_Sold]]</f>
        <v>162282.42000000001</v>
      </c>
      <c r="P212">
        <f>sales_data_1[[#This Row],[Unit - cost]]*sales_data_1[[#This Row],[Quantity_Sold]]</f>
        <v>11967.340000000011</v>
      </c>
    </row>
    <row r="213" spans="1:16" x14ac:dyDescent="0.3">
      <c r="A213">
        <v>1088</v>
      </c>
      <c r="B213" s="1">
        <v>45037</v>
      </c>
      <c r="C213" t="s">
        <v>32</v>
      </c>
      <c r="D213" t="s">
        <v>33</v>
      </c>
      <c r="E213">
        <v>29</v>
      </c>
      <c r="F213" t="s">
        <v>15</v>
      </c>
      <c r="G213">
        <v>639.58000000000004</v>
      </c>
      <c r="H213">
        <v>1107.45</v>
      </c>
      <c r="I213" t="s">
        <v>29</v>
      </c>
      <c r="J213">
        <v>0.28999999999999998</v>
      </c>
      <c r="K213" t="s">
        <v>17</v>
      </c>
      <c r="L213" t="s">
        <v>21</v>
      </c>
      <c r="M213" t="s">
        <v>35</v>
      </c>
      <c r="N213">
        <f>sales_data_1[[#This Row],[Unit_Price]]-sales_data_1[[#This Row],[Unit_Cost]]</f>
        <v>467.87</v>
      </c>
      <c r="O213">
        <f>sales_data_1[[#This Row],[Unit_Price]]*sales_data_1[[#This Row],[Quantity_Sold]]</f>
        <v>32116.050000000003</v>
      </c>
      <c r="P213">
        <f>sales_data_1[[#This Row],[Unit - cost]]*sales_data_1[[#This Row],[Quantity_Sold]]</f>
        <v>13568.23</v>
      </c>
    </row>
    <row r="214" spans="1:16" x14ac:dyDescent="0.3">
      <c r="A214">
        <v>1052</v>
      </c>
      <c r="B214" s="1">
        <v>45030</v>
      </c>
      <c r="C214" t="s">
        <v>23</v>
      </c>
      <c r="D214" t="s">
        <v>14</v>
      </c>
      <c r="E214">
        <v>5</v>
      </c>
      <c r="F214" t="s">
        <v>15</v>
      </c>
      <c r="G214">
        <v>745.71</v>
      </c>
      <c r="H214">
        <v>856.91000000000008</v>
      </c>
      <c r="I214" t="s">
        <v>16</v>
      </c>
      <c r="J214">
        <v>0.23</v>
      </c>
      <c r="K214" t="s">
        <v>26</v>
      </c>
      <c r="L214" t="s">
        <v>21</v>
      </c>
      <c r="M214" t="s">
        <v>44</v>
      </c>
      <c r="N214">
        <f>sales_data_1[[#This Row],[Unit_Price]]-sales_data_1[[#This Row],[Unit_Cost]]</f>
        <v>111.20000000000005</v>
      </c>
      <c r="O214">
        <f>sales_data_1[[#This Row],[Unit_Price]]*sales_data_1[[#This Row],[Quantity_Sold]]</f>
        <v>4284.55</v>
      </c>
      <c r="P214">
        <f>sales_data_1[[#This Row],[Unit - cost]]*sales_data_1[[#This Row],[Quantity_Sold]]</f>
        <v>556.00000000000023</v>
      </c>
    </row>
    <row r="215" spans="1:16" x14ac:dyDescent="0.3">
      <c r="A215">
        <v>1062</v>
      </c>
      <c r="B215" s="1">
        <v>45242</v>
      </c>
      <c r="C215" t="s">
        <v>37</v>
      </c>
      <c r="D215" t="s">
        <v>24</v>
      </c>
      <c r="E215">
        <v>9</v>
      </c>
      <c r="F215" t="s">
        <v>34</v>
      </c>
      <c r="G215">
        <v>1468.05</v>
      </c>
      <c r="H215">
        <v>1838.21</v>
      </c>
      <c r="I215" t="s">
        <v>29</v>
      </c>
      <c r="J215">
        <v>0.15</v>
      </c>
      <c r="K215" t="s">
        <v>26</v>
      </c>
      <c r="L215" t="s">
        <v>21</v>
      </c>
      <c r="M215" t="s">
        <v>38</v>
      </c>
      <c r="N215">
        <f>sales_data_1[[#This Row],[Unit_Price]]-sales_data_1[[#This Row],[Unit_Cost]]</f>
        <v>370.16000000000008</v>
      </c>
      <c r="O215">
        <f>sales_data_1[[#This Row],[Unit_Price]]*sales_data_1[[#This Row],[Quantity_Sold]]</f>
        <v>16543.89</v>
      </c>
      <c r="P215">
        <f>sales_data_1[[#This Row],[Unit - cost]]*sales_data_1[[#This Row],[Quantity_Sold]]</f>
        <v>3331.4400000000005</v>
      </c>
    </row>
    <row r="216" spans="1:16" x14ac:dyDescent="0.3">
      <c r="A216">
        <v>1058</v>
      </c>
      <c r="B216" s="1">
        <v>45097</v>
      </c>
      <c r="C216" t="s">
        <v>37</v>
      </c>
      <c r="D216" t="s">
        <v>20</v>
      </c>
      <c r="E216">
        <v>48</v>
      </c>
      <c r="F216" t="s">
        <v>28</v>
      </c>
      <c r="G216">
        <v>2614.48</v>
      </c>
      <c r="H216">
        <v>3049.04</v>
      </c>
      <c r="I216" t="s">
        <v>29</v>
      </c>
      <c r="J216">
        <v>0.1</v>
      </c>
      <c r="K216" t="s">
        <v>30</v>
      </c>
      <c r="L216" t="s">
        <v>21</v>
      </c>
      <c r="M216" t="s">
        <v>40</v>
      </c>
      <c r="N216">
        <f>sales_data_1[[#This Row],[Unit_Price]]-sales_data_1[[#This Row],[Unit_Cost]]</f>
        <v>434.55999999999995</v>
      </c>
      <c r="O216">
        <f>sales_data_1[[#This Row],[Unit_Price]]*sales_data_1[[#This Row],[Quantity_Sold]]</f>
        <v>146353.91999999998</v>
      </c>
      <c r="P216">
        <f>sales_data_1[[#This Row],[Unit - cost]]*sales_data_1[[#This Row],[Quantity_Sold]]</f>
        <v>20858.879999999997</v>
      </c>
    </row>
    <row r="217" spans="1:16" x14ac:dyDescent="0.3">
      <c r="A217">
        <v>1052</v>
      </c>
      <c r="B217" s="1">
        <v>45282</v>
      </c>
      <c r="C217" t="s">
        <v>32</v>
      </c>
      <c r="D217" t="s">
        <v>20</v>
      </c>
      <c r="E217">
        <v>2</v>
      </c>
      <c r="F217" t="s">
        <v>15</v>
      </c>
      <c r="G217">
        <v>3752.68</v>
      </c>
      <c r="H217">
        <v>4017.91</v>
      </c>
      <c r="I217" t="s">
        <v>16</v>
      </c>
      <c r="J217">
        <v>0.16</v>
      </c>
      <c r="K217" t="s">
        <v>26</v>
      </c>
      <c r="L217" t="s">
        <v>18</v>
      </c>
      <c r="M217" t="s">
        <v>36</v>
      </c>
      <c r="N217">
        <f>sales_data_1[[#This Row],[Unit_Price]]-sales_data_1[[#This Row],[Unit_Cost]]</f>
        <v>265.23</v>
      </c>
      <c r="O217">
        <f>sales_data_1[[#This Row],[Unit_Price]]*sales_data_1[[#This Row],[Quantity_Sold]]</f>
        <v>8035.82</v>
      </c>
      <c r="P217">
        <f>sales_data_1[[#This Row],[Unit - cost]]*sales_data_1[[#This Row],[Quantity_Sold]]</f>
        <v>530.46</v>
      </c>
    </row>
    <row r="218" spans="1:16" x14ac:dyDescent="0.3">
      <c r="A218">
        <v>1012</v>
      </c>
      <c r="B218" s="1">
        <v>45250</v>
      </c>
      <c r="C218" t="s">
        <v>13</v>
      </c>
      <c r="D218" t="s">
        <v>14</v>
      </c>
      <c r="E218">
        <v>1</v>
      </c>
      <c r="F218" t="s">
        <v>25</v>
      </c>
      <c r="G218">
        <v>4190.83</v>
      </c>
      <c r="H218">
        <v>4528.7699999999995</v>
      </c>
      <c r="I218" t="s">
        <v>16</v>
      </c>
      <c r="J218">
        <v>0.22</v>
      </c>
      <c r="K218" t="s">
        <v>26</v>
      </c>
      <c r="L218" t="s">
        <v>18</v>
      </c>
      <c r="M218" t="s">
        <v>19</v>
      </c>
      <c r="N218">
        <f>sales_data_1[[#This Row],[Unit_Price]]-sales_data_1[[#This Row],[Unit_Cost]]</f>
        <v>337.9399999999996</v>
      </c>
      <c r="O218">
        <f>sales_data_1[[#This Row],[Unit_Price]]*sales_data_1[[#This Row],[Quantity_Sold]]</f>
        <v>4528.7699999999995</v>
      </c>
      <c r="P218">
        <f>sales_data_1[[#This Row],[Unit - cost]]*sales_data_1[[#This Row],[Quantity_Sold]]</f>
        <v>337.9399999999996</v>
      </c>
    </row>
    <row r="219" spans="1:16" x14ac:dyDescent="0.3">
      <c r="A219">
        <v>1039</v>
      </c>
      <c r="B219" s="1">
        <v>45059</v>
      </c>
      <c r="C219" t="s">
        <v>37</v>
      </c>
      <c r="D219" t="s">
        <v>20</v>
      </c>
      <c r="E219">
        <v>40</v>
      </c>
      <c r="F219" t="s">
        <v>15</v>
      </c>
      <c r="G219">
        <v>3536.46</v>
      </c>
      <c r="H219">
        <v>3945.82</v>
      </c>
      <c r="I219" t="s">
        <v>29</v>
      </c>
      <c r="J219">
        <v>0.24</v>
      </c>
      <c r="K219" t="s">
        <v>26</v>
      </c>
      <c r="L219" t="s">
        <v>18</v>
      </c>
      <c r="M219" t="s">
        <v>40</v>
      </c>
      <c r="N219">
        <f>sales_data_1[[#This Row],[Unit_Price]]-sales_data_1[[#This Row],[Unit_Cost]]</f>
        <v>409.36000000000013</v>
      </c>
      <c r="O219">
        <f>sales_data_1[[#This Row],[Unit_Price]]*sales_data_1[[#This Row],[Quantity_Sold]]</f>
        <v>157832.80000000002</v>
      </c>
      <c r="P219">
        <f>sales_data_1[[#This Row],[Unit - cost]]*sales_data_1[[#This Row],[Quantity_Sold]]</f>
        <v>16374.400000000005</v>
      </c>
    </row>
    <row r="220" spans="1:16" x14ac:dyDescent="0.3">
      <c r="A220">
        <v>1002</v>
      </c>
      <c r="B220" s="1">
        <v>45219</v>
      </c>
      <c r="C220" t="s">
        <v>23</v>
      </c>
      <c r="D220" t="s">
        <v>14</v>
      </c>
      <c r="E220">
        <v>30</v>
      </c>
      <c r="F220" t="s">
        <v>28</v>
      </c>
      <c r="G220">
        <v>4646.55</v>
      </c>
      <c r="H220">
        <v>4784.28</v>
      </c>
      <c r="I220" t="s">
        <v>16</v>
      </c>
      <c r="J220">
        <v>0.1</v>
      </c>
      <c r="K220" t="s">
        <v>30</v>
      </c>
      <c r="L220" t="s">
        <v>21</v>
      </c>
      <c r="M220" t="s">
        <v>44</v>
      </c>
      <c r="N220">
        <f>sales_data_1[[#This Row],[Unit_Price]]-sales_data_1[[#This Row],[Unit_Cost]]</f>
        <v>137.72999999999956</v>
      </c>
      <c r="O220">
        <f>sales_data_1[[#This Row],[Unit_Price]]*sales_data_1[[#This Row],[Quantity_Sold]]</f>
        <v>143528.4</v>
      </c>
      <c r="P220">
        <f>sales_data_1[[#This Row],[Unit - cost]]*sales_data_1[[#This Row],[Quantity_Sold]]</f>
        <v>4131.8999999999869</v>
      </c>
    </row>
    <row r="221" spans="1:16" x14ac:dyDescent="0.3">
      <c r="A221">
        <v>1003</v>
      </c>
      <c r="B221" s="1">
        <v>45254</v>
      </c>
      <c r="C221" t="s">
        <v>37</v>
      </c>
      <c r="D221" t="s">
        <v>33</v>
      </c>
      <c r="E221">
        <v>11</v>
      </c>
      <c r="F221" t="s">
        <v>25</v>
      </c>
      <c r="G221">
        <v>3706.78</v>
      </c>
      <c r="H221">
        <v>3862.26</v>
      </c>
      <c r="I221" t="s">
        <v>29</v>
      </c>
      <c r="J221">
        <v>0.22</v>
      </c>
      <c r="K221" t="s">
        <v>30</v>
      </c>
      <c r="L221" t="s">
        <v>21</v>
      </c>
      <c r="M221" t="s">
        <v>47</v>
      </c>
      <c r="N221">
        <f>sales_data_1[[#This Row],[Unit_Price]]-sales_data_1[[#This Row],[Unit_Cost]]</f>
        <v>155.48000000000002</v>
      </c>
      <c r="O221">
        <f>sales_data_1[[#This Row],[Unit_Price]]*sales_data_1[[#This Row],[Quantity_Sold]]</f>
        <v>42484.86</v>
      </c>
      <c r="P221">
        <f>sales_data_1[[#This Row],[Unit - cost]]*sales_data_1[[#This Row],[Quantity_Sold]]</f>
        <v>1710.2800000000002</v>
      </c>
    </row>
    <row r="222" spans="1:16" x14ac:dyDescent="0.3">
      <c r="A222">
        <v>1056</v>
      </c>
      <c r="B222" s="1">
        <v>45053</v>
      </c>
      <c r="C222" t="s">
        <v>23</v>
      </c>
      <c r="D222" t="s">
        <v>33</v>
      </c>
      <c r="E222">
        <v>28</v>
      </c>
      <c r="F222" t="s">
        <v>28</v>
      </c>
      <c r="G222">
        <v>1566.03</v>
      </c>
      <c r="H222">
        <v>1576.34</v>
      </c>
      <c r="I222" t="s">
        <v>16</v>
      </c>
      <c r="J222">
        <v>0.2</v>
      </c>
      <c r="K222" t="s">
        <v>26</v>
      </c>
      <c r="L222" t="s">
        <v>18</v>
      </c>
      <c r="M222" t="s">
        <v>49</v>
      </c>
      <c r="N222">
        <f>sales_data_1[[#This Row],[Unit_Price]]-sales_data_1[[#This Row],[Unit_Cost]]</f>
        <v>10.309999999999945</v>
      </c>
      <c r="O222">
        <f>sales_data_1[[#This Row],[Unit_Price]]*sales_data_1[[#This Row],[Quantity_Sold]]</f>
        <v>44137.52</v>
      </c>
      <c r="P222">
        <f>sales_data_1[[#This Row],[Unit - cost]]*sales_data_1[[#This Row],[Quantity_Sold]]</f>
        <v>288.67999999999847</v>
      </c>
    </row>
    <row r="223" spans="1:16" x14ac:dyDescent="0.3">
      <c r="A223">
        <v>1081</v>
      </c>
      <c r="B223" s="1">
        <v>45032</v>
      </c>
      <c r="C223" t="s">
        <v>32</v>
      </c>
      <c r="D223" t="s">
        <v>20</v>
      </c>
      <c r="E223">
        <v>44</v>
      </c>
      <c r="F223" t="s">
        <v>34</v>
      </c>
      <c r="G223">
        <v>1362.15</v>
      </c>
      <c r="H223">
        <v>1844.0700000000002</v>
      </c>
      <c r="I223" t="s">
        <v>29</v>
      </c>
      <c r="J223">
        <v>0.28999999999999998</v>
      </c>
      <c r="K223" t="s">
        <v>30</v>
      </c>
      <c r="L223" t="s">
        <v>18</v>
      </c>
      <c r="M223" t="s">
        <v>36</v>
      </c>
      <c r="N223">
        <f>sales_data_1[[#This Row],[Unit_Price]]-sales_data_1[[#This Row],[Unit_Cost]]</f>
        <v>481.92000000000007</v>
      </c>
      <c r="O223">
        <f>sales_data_1[[#This Row],[Unit_Price]]*sales_data_1[[#This Row],[Quantity_Sold]]</f>
        <v>81139.08</v>
      </c>
      <c r="P223">
        <f>sales_data_1[[#This Row],[Unit - cost]]*sales_data_1[[#This Row],[Quantity_Sold]]</f>
        <v>21204.480000000003</v>
      </c>
    </row>
    <row r="224" spans="1:16" x14ac:dyDescent="0.3">
      <c r="A224">
        <v>1059</v>
      </c>
      <c r="B224" s="1">
        <v>45018</v>
      </c>
      <c r="C224" t="s">
        <v>37</v>
      </c>
      <c r="D224" t="s">
        <v>20</v>
      </c>
      <c r="E224">
        <v>12</v>
      </c>
      <c r="F224" t="s">
        <v>25</v>
      </c>
      <c r="G224">
        <v>3496.15</v>
      </c>
      <c r="H224">
        <v>3955.75</v>
      </c>
      <c r="I224" t="s">
        <v>16</v>
      </c>
      <c r="J224">
        <v>0.28000000000000003</v>
      </c>
      <c r="K224" t="s">
        <v>17</v>
      </c>
      <c r="L224" t="s">
        <v>21</v>
      </c>
      <c r="M224" t="s">
        <v>40</v>
      </c>
      <c r="N224">
        <f>sales_data_1[[#This Row],[Unit_Price]]-sales_data_1[[#This Row],[Unit_Cost]]</f>
        <v>459.59999999999991</v>
      </c>
      <c r="O224">
        <f>sales_data_1[[#This Row],[Unit_Price]]*sales_data_1[[#This Row],[Quantity_Sold]]</f>
        <v>47469</v>
      </c>
      <c r="P224">
        <f>sales_data_1[[#This Row],[Unit - cost]]*sales_data_1[[#This Row],[Quantity_Sold]]</f>
        <v>5515.1999999999989</v>
      </c>
    </row>
    <row r="225" spans="1:16" x14ac:dyDescent="0.3">
      <c r="A225">
        <v>1002</v>
      </c>
      <c r="B225" s="1">
        <v>45213</v>
      </c>
      <c r="C225" t="s">
        <v>23</v>
      </c>
      <c r="D225" t="s">
        <v>24</v>
      </c>
      <c r="E225">
        <v>39</v>
      </c>
      <c r="F225" t="s">
        <v>28</v>
      </c>
      <c r="G225">
        <v>1004.71</v>
      </c>
      <c r="H225">
        <v>1389.35</v>
      </c>
      <c r="I225" t="s">
        <v>29</v>
      </c>
      <c r="J225">
        <v>0.24</v>
      </c>
      <c r="K225" t="s">
        <v>26</v>
      </c>
      <c r="L225" t="s">
        <v>18</v>
      </c>
      <c r="M225" t="s">
        <v>27</v>
      </c>
      <c r="N225">
        <f>sales_data_1[[#This Row],[Unit_Price]]-sales_data_1[[#This Row],[Unit_Cost]]</f>
        <v>384.63999999999987</v>
      </c>
      <c r="O225">
        <f>sales_data_1[[#This Row],[Unit_Price]]*sales_data_1[[#This Row],[Quantity_Sold]]</f>
        <v>54184.649999999994</v>
      </c>
      <c r="P225">
        <f>sales_data_1[[#This Row],[Unit - cost]]*sales_data_1[[#This Row],[Quantity_Sold]]</f>
        <v>15000.959999999995</v>
      </c>
    </row>
    <row r="226" spans="1:16" x14ac:dyDescent="0.3">
      <c r="A226">
        <v>1002</v>
      </c>
      <c r="B226" s="1">
        <v>44977</v>
      </c>
      <c r="C226" t="s">
        <v>32</v>
      </c>
      <c r="D226" t="s">
        <v>20</v>
      </c>
      <c r="E226">
        <v>26</v>
      </c>
      <c r="F226" t="s">
        <v>25</v>
      </c>
      <c r="G226">
        <v>508.94</v>
      </c>
      <c r="H226">
        <v>557.69000000000005</v>
      </c>
      <c r="I226" t="s">
        <v>29</v>
      </c>
      <c r="J226">
        <v>0.22</v>
      </c>
      <c r="K226" t="s">
        <v>30</v>
      </c>
      <c r="L226" t="s">
        <v>21</v>
      </c>
      <c r="M226" t="s">
        <v>36</v>
      </c>
      <c r="N226">
        <f>sales_data_1[[#This Row],[Unit_Price]]-sales_data_1[[#This Row],[Unit_Cost]]</f>
        <v>48.750000000000057</v>
      </c>
      <c r="O226">
        <f>sales_data_1[[#This Row],[Unit_Price]]*sales_data_1[[#This Row],[Quantity_Sold]]</f>
        <v>14499.940000000002</v>
      </c>
      <c r="P226">
        <f>sales_data_1[[#This Row],[Unit - cost]]*sales_data_1[[#This Row],[Quantity_Sold]]</f>
        <v>1267.5000000000014</v>
      </c>
    </row>
    <row r="227" spans="1:16" x14ac:dyDescent="0.3">
      <c r="A227">
        <v>1092</v>
      </c>
      <c r="B227" s="1">
        <v>44955</v>
      </c>
      <c r="C227" t="s">
        <v>13</v>
      </c>
      <c r="D227" t="s">
        <v>24</v>
      </c>
      <c r="E227">
        <v>13</v>
      </c>
      <c r="F227" t="s">
        <v>28</v>
      </c>
      <c r="G227">
        <v>2684.5</v>
      </c>
      <c r="H227">
        <v>2913.78</v>
      </c>
      <c r="I227" t="s">
        <v>29</v>
      </c>
      <c r="J227">
        <v>0.08</v>
      </c>
      <c r="K227" t="s">
        <v>30</v>
      </c>
      <c r="L227" t="s">
        <v>21</v>
      </c>
      <c r="M227" t="s">
        <v>31</v>
      </c>
      <c r="N227">
        <f>sales_data_1[[#This Row],[Unit_Price]]-sales_data_1[[#This Row],[Unit_Cost]]</f>
        <v>229.2800000000002</v>
      </c>
      <c r="O227">
        <f>sales_data_1[[#This Row],[Unit_Price]]*sales_data_1[[#This Row],[Quantity_Sold]]</f>
        <v>37879.14</v>
      </c>
      <c r="P227">
        <f>sales_data_1[[#This Row],[Unit - cost]]*sales_data_1[[#This Row],[Quantity_Sold]]</f>
        <v>2980.6400000000026</v>
      </c>
    </row>
    <row r="228" spans="1:16" x14ac:dyDescent="0.3">
      <c r="A228">
        <v>1054</v>
      </c>
      <c r="B228" s="1">
        <v>45222</v>
      </c>
      <c r="C228" t="s">
        <v>23</v>
      </c>
      <c r="D228" t="s">
        <v>33</v>
      </c>
      <c r="E228">
        <v>8</v>
      </c>
      <c r="F228" t="s">
        <v>25</v>
      </c>
      <c r="G228">
        <v>4117.13</v>
      </c>
      <c r="H228">
        <v>4177.0600000000004</v>
      </c>
      <c r="I228" t="s">
        <v>16</v>
      </c>
      <c r="J228">
        <v>0.25</v>
      </c>
      <c r="K228" t="s">
        <v>26</v>
      </c>
      <c r="L228" t="s">
        <v>21</v>
      </c>
      <c r="M228" t="s">
        <v>49</v>
      </c>
      <c r="N228">
        <f>sales_data_1[[#This Row],[Unit_Price]]-sales_data_1[[#This Row],[Unit_Cost]]</f>
        <v>59.930000000000291</v>
      </c>
      <c r="O228">
        <f>sales_data_1[[#This Row],[Unit_Price]]*sales_data_1[[#This Row],[Quantity_Sold]]</f>
        <v>33416.480000000003</v>
      </c>
      <c r="P228">
        <f>sales_data_1[[#This Row],[Unit - cost]]*sales_data_1[[#This Row],[Quantity_Sold]]</f>
        <v>479.44000000000233</v>
      </c>
    </row>
    <row r="229" spans="1:16" x14ac:dyDescent="0.3">
      <c r="A229">
        <v>1087</v>
      </c>
      <c r="B229" s="1">
        <v>45223</v>
      </c>
      <c r="C229" t="s">
        <v>13</v>
      </c>
      <c r="D229" t="s">
        <v>33</v>
      </c>
      <c r="E229">
        <v>28</v>
      </c>
      <c r="F229" t="s">
        <v>28</v>
      </c>
      <c r="G229">
        <v>551.83000000000004</v>
      </c>
      <c r="H229">
        <v>569.63</v>
      </c>
      <c r="I229" t="s">
        <v>29</v>
      </c>
      <c r="J229">
        <v>0.13</v>
      </c>
      <c r="K229" t="s">
        <v>30</v>
      </c>
      <c r="L229" t="s">
        <v>21</v>
      </c>
      <c r="M229" t="s">
        <v>45</v>
      </c>
      <c r="N229">
        <f>sales_data_1[[#This Row],[Unit_Price]]-sales_data_1[[#This Row],[Unit_Cost]]</f>
        <v>17.799999999999955</v>
      </c>
      <c r="O229">
        <f>sales_data_1[[#This Row],[Unit_Price]]*sales_data_1[[#This Row],[Quantity_Sold]]</f>
        <v>15949.64</v>
      </c>
      <c r="P229">
        <f>sales_data_1[[#This Row],[Unit - cost]]*sales_data_1[[#This Row],[Quantity_Sold]]</f>
        <v>498.39999999999873</v>
      </c>
    </row>
    <row r="230" spans="1:16" x14ac:dyDescent="0.3">
      <c r="A230">
        <v>1096</v>
      </c>
      <c r="B230" s="1">
        <v>45140</v>
      </c>
      <c r="C230" t="s">
        <v>13</v>
      </c>
      <c r="D230" t="s">
        <v>14</v>
      </c>
      <c r="E230">
        <v>30</v>
      </c>
      <c r="F230" t="s">
        <v>34</v>
      </c>
      <c r="G230">
        <v>3969.86</v>
      </c>
      <c r="H230">
        <v>4281.79</v>
      </c>
      <c r="I230" t="s">
        <v>16</v>
      </c>
      <c r="J230">
        <v>0.08</v>
      </c>
      <c r="K230" t="s">
        <v>26</v>
      </c>
      <c r="L230" t="s">
        <v>21</v>
      </c>
      <c r="M230" t="s">
        <v>19</v>
      </c>
      <c r="N230">
        <f>sales_data_1[[#This Row],[Unit_Price]]-sales_data_1[[#This Row],[Unit_Cost]]</f>
        <v>311.92999999999984</v>
      </c>
      <c r="O230">
        <f>sales_data_1[[#This Row],[Unit_Price]]*sales_data_1[[#This Row],[Quantity_Sold]]</f>
        <v>128453.7</v>
      </c>
      <c r="P230">
        <f>sales_data_1[[#This Row],[Unit - cost]]*sales_data_1[[#This Row],[Quantity_Sold]]</f>
        <v>9357.8999999999942</v>
      </c>
    </row>
    <row r="231" spans="1:16" x14ac:dyDescent="0.3">
      <c r="A231">
        <v>1097</v>
      </c>
      <c r="B231" s="1">
        <v>45193</v>
      </c>
      <c r="C231" t="s">
        <v>41</v>
      </c>
      <c r="D231" t="s">
        <v>33</v>
      </c>
      <c r="E231">
        <v>9</v>
      </c>
      <c r="F231" t="s">
        <v>25</v>
      </c>
      <c r="G231">
        <v>4067.28</v>
      </c>
      <c r="H231">
        <v>4548.09</v>
      </c>
      <c r="I231" t="s">
        <v>16</v>
      </c>
      <c r="J231">
        <v>0.12</v>
      </c>
      <c r="K231" t="s">
        <v>30</v>
      </c>
      <c r="L231" t="s">
        <v>21</v>
      </c>
      <c r="M231" t="s">
        <v>51</v>
      </c>
      <c r="N231">
        <f>sales_data_1[[#This Row],[Unit_Price]]-sales_data_1[[#This Row],[Unit_Cost]]</f>
        <v>480.80999999999995</v>
      </c>
      <c r="O231">
        <f>sales_data_1[[#This Row],[Unit_Price]]*sales_data_1[[#This Row],[Quantity_Sold]]</f>
        <v>40932.81</v>
      </c>
      <c r="P231">
        <f>sales_data_1[[#This Row],[Unit - cost]]*sales_data_1[[#This Row],[Quantity_Sold]]</f>
        <v>4327.2899999999991</v>
      </c>
    </row>
    <row r="232" spans="1:16" x14ac:dyDescent="0.3">
      <c r="A232">
        <v>1001</v>
      </c>
      <c r="B232" s="1">
        <v>45183</v>
      </c>
      <c r="C232" t="s">
        <v>37</v>
      </c>
      <c r="D232" t="s">
        <v>24</v>
      </c>
      <c r="E232">
        <v>39</v>
      </c>
      <c r="F232" t="s">
        <v>25</v>
      </c>
      <c r="G232">
        <v>2437.2600000000002</v>
      </c>
      <c r="H232">
        <v>2889.67</v>
      </c>
      <c r="I232" t="s">
        <v>16</v>
      </c>
      <c r="J232">
        <v>0.25</v>
      </c>
      <c r="K232" t="s">
        <v>17</v>
      </c>
      <c r="L232" t="s">
        <v>18</v>
      </c>
      <c r="M232" t="s">
        <v>38</v>
      </c>
      <c r="N232">
        <f>sales_data_1[[#This Row],[Unit_Price]]-sales_data_1[[#This Row],[Unit_Cost]]</f>
        <v>452.40999999999985</v>
      </c>
      <c r="O232">
        <f>sales_data_1[[#This Row],[Unit_Price]]*sales_data_1[[#This Row],[Quantity_Sold]]</f>
        <v>112697.13</v>
      </c>
      <c r="P232">
        <f>sales_data_1[[#This Row],[Unit - cost]]*sales_data_1[[#This Row],[Quantity_Sold]]</f>
        <v>17643.989999999994</v>
      </c>
    </row>
    <row r="233" spans="1:16" x14ac:dyDescent="0.3">
      <c r="A233">
        <v>1019</v>
      </c>
      <c r="B233" s="1">
        <v>45228</v>
      </c>
      <c r="C233" t="s">
        <v>23</v>
      </c>
      <c r="D233" t="s">
        <v>20</v>
      </c>
      <c r="E233">
        <v>31</v>
      </c>
      <c r="F233" t="s">
        <v>25</v>
      </c>
      <c r="G233">
        <v>333.69</v>
      </c>
      <c r="H233">
        <v>685.1</v>
      </c>
      <c r="I233" t="s">
        <v>29</v>
      </c>
      <c r="J233">
        <v>0.04</v>
      </c>
      <c r="K233" t="s">
        <v>26</v>
      </c>
      <c r="L233" t="s">
        <v>18</v>
      </c>
      <c r="M233" t="s">
        <v>46</v>
      </c>
      <c r="N233">
        <f>sales_data_1[[#This Row],[Unit_Price]]-sales_data_1[[#This Row],[Unit_Cost]]</f>
        <v>351.41</v>
      </c>
      <c r="O233">
        <f>sales_data_1[[#This Row],[Unit_Price]]*sales_data_1[[#This Row],[Quantity_Sold]]</f>
        <v>21238.100000000002</v>
      </c>
      <c r="P233">
        <f>sales_data_1[[#This Row],[Unit - cost]]*sales_data_1[[#This Row],[Quantity_Sold]]</f>
        <v>10893.710000000001</v>
      </c>
    </row>
    <row r="234" spans="1:16" x14ac:dyDescent="0.3">
      <c r="A234">
        <v>1002</v>
      </c>
      <c r="B234" s="1">
        <v>45027</v>
      </c>
      <c r="C234" t="s">
        <v>13</v>
      </c>
      <c r="D234" t="s">
        <v>14</v>
      </c>
      <c r="E234">
        <v>21</v>
      </c>
      <c r="F234" t="s">
        <v>25</v>
      </c>
      <c r="G234">
        <v>914.22</v>
      </c>
      <c r="H234">
        <v>971.57</v>
      </c>
      <c r="I234" t="s">
        <v>16</v>
      </c>
      <c r="J234">
        <v>0.14000000000000001</v>
      </c>
      <c r="K234" t="s">
        <v>17</v>
      </c>
      <c r="L234" t="s">
        <v>18</v>
      </c>
      <c r="M234" t="s">
        <v>19</v>
      </c>
      <c r="N234">
        <f>sales_data_1[[#This Row],[Unit_Price]]-sales_data_1[[#This Row],[Unit_Cost]]</f>
        <v>57.350000000000023</v>
      </c>
      <c r="O234">
        <f>sales_data_1[[#This Row],[Unit_Price]]*sales_data_1[[#This Row],[Quantity_Sold]]</f>
        <v>20402.97</v>
      </c>
      <c r="P234">
        <f>sales_data_1[[#This Row],[Unit - cost]]*sales_data_1[[#This Row],[Quantity_Sold]]</f>
        <v>1204.3500000000004</v>
      </c>
    </row>
    <row r="235" spans="1:16" x14ac:dyDescent="0.3">
      <c r="A235">
        <v>1053</v>
      </c>
      <c r="B235" s="1">
        <v>45272</v>
      </c>
      <c r="C235" t="s">
        <v>41</v>
      </c>
      <c r="D235" t="s">
        <v>24</v>
      </c>
      <c r="E235">
        <v>47</v>
      </c>
      <c r="F235" t="s">
        <v>34</v>
      </c>
      <c r="G235">
        <v>3551.76</v>
      </c>
      <c r="H235">
        <v>3696.1000000000004</v>
      </c>
      <c r="I235" t="s">
        <v>16</v>
      </c>
      <c r="J235">
        <v>0.15</v>
      </c>
      <c r="K235" t="s">
        <v>26</v>
      </c>
      <c r="L235" t="s">
        <v>21</v>
      </c>
      <c r="M235" t="s">
        <v>42</v>
      </c>
      <c r="N235">
        <f>sales_data_1[[#This Row],[Unit_Price]]-sales_data_1[[#This Row],[Unit_Cost]]</f>
        <v>144.34000000000015</v>
      </c>
      <c r="O235">
        <f>sales_data_1[[#This Row],[Unit_Price]]*sales_data_1[[#This Row],[Quantity_Sold]]</f>
        <v>173716.7</v>
      </c>
      <c r="P235">
        <f>sales_data_1[[#This Row],[Unit - cost]]*sales_data_1[[#This Row],[Quantity_Sold]]</f>
        <v>6783.9800000000068</v>
      </c>
    </row>
    <row r="236" spans="1:16" x14ac:dyDescent="0.3">
      <c r="A236">
        <v>1044</v>
      </c>
      <c r="B236" s="1">
        <v>45036</v>
      </c>
      <c r="C236" t="s">
        <v>32</v>
      </c>
      <c r="D236" t="s">
        <v>20</v>
      </c>
      <c r="E236">
        <v>34</v>
      </c>
      <c r="F236" t="s">
        <v>25</v>
      </c>
      <c r="G236">
        <v>3573.3</v>
      </c>
      <c r="H236">
        <v>3740.13</v>
      </c>
      <c r="I236" t="s">
        <v>16</v>
      </c>
      <c r="J236">
        <v>0.01</v>
      </c>
      <c r="K236" t="s">
        <v>30</v>
      </c>
      <c r="L236" t="s">
        <v>18</v>
      </c>
      <c r="M236" t="s">
        <v>36</v>
      </c>
      <c r="N236">
        <f>sales_data_1[[#This Row],[Unit_Price]]-sales_data_1[[#This Row],[Unit_Cost]]</f>
        <v>166.82999999999993</v>
      </c>
      <c r="O236">
        <f>sales_data_1[[#This Row],[Unit_Price]]*sales_data_1[[#This Row],[Quantity_Sold]]</f>
        <v>127164.42</v>
      </c>
      <c r="P236">
        <f>sales_data_1[[#This Row],[Unit - cost]]*sales_data_1[[#This Row],[Quantity_Sold]]</f>
        <v>5672.2199999999975</v>
      </c>
    </row>
    <row r="237" spans="1:16" x14ac:dyDescent="0.3">
      <c r="A237">
        <v>1090</v>
      </c>
      <c r="B237" s="1">
        <v>45108</v>
      </c>
      <c r="C237" t="s">
        <v>23</v>
      </c>
      <c r="D237" t="s">
        <v>14</v>
      </c>
      <c r="E237">
        <v>31</v>
      </c>
      <c r="F237" t="s">
        <v>15</v>
      </c>
      <c r="G237">
        <v>4496.8599999999997</v>
      </c>
      <c r="H237">
        <v>4880.7999999999993</v>
      </c>
      <c r="I237" t="s">
        <v>29</v>
      </c>
      <c r="J237">
        <v>0.06</v>
      </c>
      <c r="K237" t="s">
        <v>17</v>
      </c>
      <c r="L237" t="s">
        <v>21</v>
      </c>
      <c r="M237" t="s">
        <v>44</v>
      </c>
      <c r="N237">
        <f>sales_data_1[[#This Row],[Unit_Price]]-sales_data_1[[#This Row],[Unit_Cost]]</f>
        <v>383.9399999999996</v>
      </c>
      <c r="O237">
        <f>sales_data_1[[#This Row],[Unit_Price]]*sales_data_1[[#This Row],[Quantity_Sold]]</f>
        <v>151304.79999999999</v>
      </c>
      <c r="P237">
        <f>sales_data_1[[#This Row],[Unit - cost]]*sales_data_1[[#This Row],[Quantity_Sold]]</f>
        <v>11902.139999999989</v>
      </c>
    </row>
    <row r="238" spans="1:16" x14ac:dyDescent="0.3">
      <c r="A238">
        <v>1032</v>
      </c>
      <c r="B238" s="1">
        <v>45239</v>
      </c>
      <c r="C238" t="s">
        <v>13</v>
      </c>
      <c r="D238" t="s">
        <v>33</v>
      </c>
      <c r="E238">
        <v>25</v>
      </c>
      <c r="F238" t="s">
        <v>34</v>
      </c>
      <c r="G238">
        <v>2934.3</v>
      </c>
      <c r="H238">
        <v>3337.4</v>
      </c>
      <c r="I238" t="s">
        <v>16</v>
      </c>
      <c r="J238">
        <v>0.25</v>
      </c>
      <c r="K238" t="s">
        <v>30</v>
      </c>
      <c r="L238" t="s">
        <v>21</v>
      </c>
      <c r="M238" t="s">
        <v>45</v>
      </c>
      <c r="N238">
        <f>sales_data_1[[#This Row],[Unit_Price]]-sales_data_1[[#This Row],[Unit_Cost]]</f>
        <v>403.09999999999991</v>
      </c>
      <c r="O238">
        <f>sales_data_1[[#This Row],[Unit_Price]]*sales_data_1[[#This Row],[Quantity_Sold]]</f>
        <v>83435</v>
      </c>
      <c r="P238">
        <f>sales_data_1[[#This Row],[Unit - cost]]*sales_data_1[[#This Row],[Quantity_Sold]]</f>
        <v>10077.499999999998</v>
      </c>
    </row>
    <row r="239" spans="1:16" x14ac:dyDescent="0.3">
      <c r="A239">
        <v>1070</v>
      </c>
      <c r="B239" s="1">
        <v>44927</v>
      </c>
      <c r="C239" t="s">
        <v>37</v>
      </c>
      <c r="D239" t="s">
        <v>24</v>
      </c>
      <c r="E239">
        <v>12</v>
      </c>
      <c r="F239" t="s">
        <v>15</v>
      </c>
      <c r="G239">
        <v>664.33</v>
      </c>
      <c r="H239">
        <v>863.03</v>
      </c>
      <c r="I239" t="s">
        <v>16</v>
      </c>
      <c r="J239">
        <v>0.25</v>
      </c>
      <c r="K239" t="s">
        <v>26</v>
      </c>
      <c r="L239" t="s">
        <v>21</v>
      </c>
      <c r="M239" t="s">
        <v>38</v>
      </c>
      <c r="N239">
        <f>sales_data_1[[#This Row],[Unit_Price]]-sales_data_1[[#This Row],[Unit_Cost]]</f>
        <v>198.69999999999993</v>
      </c>
      <c r="O239">
        <f>sales_data_1[[#This Row],[Unit_Price]]*sales_data_1[[#This Row],[Quantity_Sold]]</f>
        <v>10356.36</v>
      </c>
      <c r="P239">
        <f>sales_data_1[[#This Row],[Unit - cost]]*sales_data_1[[#This Row],[Quantity_Sold]]</f>
        <v>2384.3999999999992</v>
      </c>
    </row>
    <row r="240" spans="1:16" x14ac:dyDescent="0.3">
      <c r="A240">
        <v>1032</v>
      </c>
      <c r="B240" s="1">
        <v>45245</v>
      </c>
      <c r="C240" t="s">
        <v>41</v>
      </c>
      <c r="D240" t="s">
        <v>20</v>
      </c>
      <c r="E240">
        <v>1</v>
      </c>
      <c r="F240" t="s">
        <v>25</v>
      </c>
      <c r="G240">
        <v>651</v>
      </c>
      <c r="H240">
        <v>865.76</v>
      </c>
      <c r="I240" t="s">
        <v>16</v>
      </c>
      <c r="J240">
        <v>0.09</v>
      </c>
      <c r="K240" t="s">
        <v>26</v>
      </c>
      <c r="L240" t="s">
        <v>21</v>
      </c>
      <c r="M240" t="s">
        <v>50</v>
      </c>
      <c r="N240">
        <f>sales_data_1[[#This Row],[Unit_Price]]-sales_data_1[[#This Row],[Unit_Cost]]</f>
        <v>214.76</v>
      </c>
      <c r="O240">
        <f>sales_data_1[[#This Row],[Unit_Price]]*sales_data_1[[#This Row],[Quantity_Sold]]</f>
        <v>865.76</v>
      </c>
      <c r="P240">
        <f>sales_data_1[[#This Row],[Unit - cost]]*sales_data_1[[#This Row],[Quantity_Sold]]</f>
        <v>214.76</v>
      </c>
    </row>
    <row r="241" spans="1:16" x14ac:dyDescent="0.3">
      <c r="A241">
        <v>1068</v>
      </c>
      <c r="B241" s="1">
        <v>44981</v>
      </c>
      <c r="C241" t="s">
        <v>13</v>
      </c>
      <c r="D241" t="s">
        <v>14</v>
      </c>
      <c r="E241">
        <v>22</v>
      </c>
      <c r="F241" t="s">
        <v>28</v>
      </c>
      <c r="G241">
        <v>3619.61</v>
      </c>
      <c r="H241">
        <v>3651.42</v>
      </c>
      <c r="I241" t="s">
        <v>16</v>
      </c>
      <c r="J241">
        <v>0.26</v>
      </c>
      <c r="K241" t="s">
        <v>26</v>
      </c>
      <c r="L241" t="s">
        <v>18</v>
      </c>
      <c r="M241" t="s">
        <v>19</v>
      </c>
      <c r="N241">
        <f>sales_data_1[[#This Row],[Unit_Price]]-sales_data_1[[#This Row],[Unit_Cost]]</f>
        <v>31.809999999999945</v>
      </c>
      <c r="O241">
        <f>sales_data_1[[#This Row],[Unit_Price]]*sales_data_1[[#This Row],[Quantity_Sold]]</f>
        <v>80331.240000000005</v>
      </c>
      <c r="P241">
        <f>sales_data_1[[#This Row],[Unit - cost]]*sales_data_1[[#This Row],[Quantity_Sold]]</f>
        <v>699.8199999999988</v>
      </c>
    </row>
    <row r="242" spans="1:16" x14ac:dyDescent="0.3">
      <c r="A242">
        <v>1055</v>
      </c>
      <c r="B242" s="1">
        <v>45075</v>
      </c>
      <c r="C242" t="s">
        <v>37</v>
      </c>
      <c r="D242" t="s">
        <v>14</v>
      </c>
      <c r="E242">
        <v>40</v>
      </c>
      <c r="F242" t="s">
        <v>15</v>
      </c>
      <c r="G242">
        <v>959.73</v>
      </c>
      <c r="H242">
        <v>1111.4100000000001</v>
      </c>
      <c r="I242" t="s">
        <v>29</v>
      </c>
      <c r="J242">
        <v>0.23</v>
      </c>
      <c r="K242" t="s">
        <v>26</v>
      </c>
      <c r="L242" t="s">
        <v>18</v>
      </c>
      <c r="M242" t="s">
        <v>39</v>
      </c>
      <c r="N242">
        <f>sales_data_1[[#This Row],[Unit_Price]]-sales_data_1[[#This Row],[Unit_Cost]]</f>
        <v>151.68000000000006</v>
      </c>
      <c r="O242">
        <f>sales_data_1[[#This Row],[Unit_Price]]*sales_data_1[[#This Row],[Quantity_Sold]]</f>
        <v>44456.4</v>
      </c>
      <c r="P242">
        <f>sales_data_1[[#This Row],[Unit - cost]]*sales_data_1[[#This Row],[Quantity_Sold]]</f>
        <v>6067.2000000000025</v>
      </c>
    </row>
    <row r="243" spans="1:16" x14ac:dyDescent="0.3">
      <c r="A243">
        <v>1075</v>
      </c>
      <c r="B243" s="1">
        <v>45235</v>
      </c>
      <c r="C243" t="s">
        <v>13</v>
      </c>
      <c r="D243" t="s">
        <v>33</v>
      </c>
      <c r="E243">
        <v>37</v>
      </c>
      <c r="F243" t="s">
        <v>25</v>
      </c>
      <c r="G243">
        <v>1675.51</v>
      </c>
      <c r="H243">
        <v>1906.6399999999999</v>
      </c>
      <c r="I243" t="s">
        <v>29</v>
      </c>
      <c r="J243">
        <v>0.13</v>
      </c>
      <c r="K243" t="s">
        <v>26</v>
      </c>
      <c r="L243" t="s">
        <v>18</v>
      </c>
      <c r="M243" t="s">
        <v>45</v>
      </c>
      <c r="N243">
        <f>sales_data_1[[#This Row],[Unit_Price]]-sales_data_1[[#This Row],[Unit_Cost]]</f>
        <v>231.12999999999988</v>
      </c>
      <c r="O243">
        <f>sales_data_1[[#This Row],[Unit_Price]]*sales_data_1[[#This Row],[Quantity_Sold]]</f>
        <v>70545.679999999993</v>
      </c>
      <c r="P243">
        <f>sales_data_1[[#This Row],[Unit - cost]]*sales_data_1[[#This Row],[Quantity_Sold]]</f>
        <v>8551.8099999999959</v>
      </c>
    </row>
    <row r="244" spans="1:16" x14ac:dyDescent="0.3">
      <c r="A244">
        <v>1056</v>
      </c>
      <c r="B244" s="1">
        <v>45063</v>
      </c>
      <c r="C244" t="s">
        <v>23</v>
      </c>
      <c r="D244" t="s">
        <v>20</v>
      </c>
      <c r="E244">
        <v>47</v>
      </c>
      <c r="F244" t="s">
        <v>15</v>
      </c>
      <c r="G244">
        <v>2461.6999999999998</v>
      </c>
      <c r="H244">
        <v>2529.02</v>
      </c>
      <c r="I244" t="s">
        <v>16</v>
      </c>
      <c r="J244">
        <v>0.22</v>
      </c>
      <c r="K244" t="s">
        <v>17</v>
      </c>
      <c r="L244" t="s">
        <v>21</v>
      </c>
      <c r="M244" t="s">
        <v>46</v>
      </c>
      <c r="N244">
        <f>sales_data_1[[#This Row],[Unit_Price]]-sales_data_1[[#This Row],[Unit_Cost]]</f>
        <v>67.320000000000164</v>
      </c>
      <c r="O244">
        <f>sales_data_1[[#This Row],[Unit_Price]]*sales_data_1[[#This Row],[Quantity_Sold]]</f>
        <v>118863.94</v>
      </c>
      <c r="P244">
        <f>sales_data_1[[#This Row],[Unit - cost]]*sales_data_1[[#This Row],[Quantity_Sold]]</f>
        <v>3164.0400000000077</v>
      </c>
    </row>
    <row r="245" spans="1:16" x14ac:dyDescent="0.3">
      <c r="A245">
        <v>1017</v>
      </c>
      <c r="B245" s="1">
        <v>45128</v>
      </c>
      <c r="C245" t="s">
        <v>23</v>
      </c>
      <c r="D245" t="s">
        <v>33</v>
      </c>
      <c r="E245">
        <v>1</v>
      </c>
      <c r="F245" t="s">
        <v>25</v>
      </c>
      <c r="G245">
        <v>172.59</v>
      </c>
      <c r="H245">
        <v>404.69</v>
      </c>
      <c r="I245" t="s">
        <v>16</v>
      </c>
      <c r="J245">
        <v>0.28999999999999998</v>
      </c>
      <c r="K245" t="s">
        <v>26</v>
      </c>
      <c r="L245" t="s">
        <v>18</v>
      </c>
      <c r="M245" t="s">
        <v>49</v>
      </c>
      <c r="N245">
        <f>sales_data_1[[#This Row],[Unit_Price]]-sales_data_1[[#This Row],[Unit_Cost]]</f>
        <v>232.1</v>
      </c>
      <c r="O245">
        <f>sales_data_1[[#This Row],[Unit_Price]]*sales_data_1[[#This Row],[Quantity_Sold]]</f>
        <v>404.69</v>
      </c>
      <c r="P245">
        <f>sales_data_1[[#This Row],[Unit - cost]]*sales_data_1[[#This Row],[Quantity_Sold]]</f>
        <v>232.1</v>
      </c>
    </row>
    <row r="246" spans="1:16" x14ac:dyDescent="0.3">
      <c r="A246">
        <v>1038</v>
      </c>
      <c r="B246" s="1">
        <v>45239</v>
      </c>
      <c r="C246" t="s">
        <v>23</v>
      </c>
      <c r="D246" t="s">
        <v>33</v>
      </c>
      <c r="E246">
        <v>1</v>
      </c>
      <c r="F246" t="s">
        <v>25</v>
      </c>
      <c r="G246">
        <v>1281.6500000000001</v>
      </c>
      <c r="H246">
        <v>1709.71</v>
      </c>
      <c r="I246" t="s">
        <v>16</v>
      </c>
      <c r="J246">
        <v>0.14000000000000001</v>
      </c>
      <c r="K246" t="s">
        <v>30</v>
      </c>
      <c r="L246" t="s">
        <v>18</v>
      </c>
      <c r="M246" t="s">
        <v>49</v>
      </c>
      <c r="N246">
        <f>sales_data_1[[#This Row],[Unit_Price]]-sales_data_1[[#This Row],[Unit_Cost]]</f>
        <v>428.05999999999995</v>
      </c>
      <c r="O246">
        <f>sales_data_1[[#This Row],[Unit_Price]]*sales_data_1[[#This Row],[Quantity_Sold]]</f>
        <v>1709.71</v>
      </c>
      <c r="P246">
        <f>sales_data_1[[#This Row],[Unit - cost]]*sales_data_1[[#This Row],[Quantity_Sold]]</f>
        <v>428.05999999999995</v>
      </c>
    </row>
    <row r="247" spans="1:16" x14ac:dyDescent="0.3">
      <c r="A247">
        <v>1024</v>
      </c>
      <c r="B247" s="1">
        <v>45043</v>
      </c>
      <c r="C247" t="s">
        <v>41</v>
      </c>
      <c r="D247" t="s">
        <v>20</v>
      </c>
      <c r="E247">
        <v>42</v>
      </c>
      <c r="F247" t="s">
        <v>25</v>
      </c>
      <c r="G247">
        <v>2069.0500000000002</v>
      </c>
      <c r="H247">
        <v>2363.9</v>
      </c>
      <c r="I247" t="s">
        <v>16</v>
      </c>
      <c r="J247">
        <v>7.0000000000000007E-2</v>
      </c>
      <c r="K247" t="s">
        <v>17</v>
      </c>
      <c r="L247" t="s">
        <v>18</v>
      </c>
      <c r="M247" t="s">
        <v>50</v>
      </c>
      <c r="N247">
        <f>sales_data_1[[#This Row],[Unit_Price]]-sales_data_1[[#This Row],[Unit_Cost]]</f>
        <v>294.84999999999991</v>
      </c>
      <c r="O247">
        <f>sales_data_1[[#This Row],[Unit_Price]]*sales_data_1[[#This Row],[Quantity_Sold]]</f>
        <v>99283.8</v>
      </c>
      <c r="P247">
        <f>sales_data_1[[#This Row],[Unit - cost]]*sales_data_1[[#This Row],[Quantity_Sold]]</f>
        <v>12383.699999999997</v>
      </c>
    </row>
    <row r="248" spans="1:16" x14ac:dyDescent="0.3">
      <c r="A248">
        <v>1069</v>
      </c>
      <c r="B248" s="1">
        <v>45080</v>
      </c>
      <c r="C248" t="s">
        <v>23</v>
      </c>
      <c r="D248" t="s">
        <v>20</v>
      </c>
      <c r="E248">
        <v>42</v>
      </c>
      <c r="F248" t="s">
        <v>28</v>
      </c>
      <c r="G248">
        <v>1434.2</v>
      </c>
      <c r="H248">
        <v>1482.88</v>
      </c>
      <c r="I248" t="s">
        <v>29</v>
      </c>
      <c r="J248">
        <v>0.28000000000000003</v>
      </c>
      <c r="K248" t="s">
        <v>30</v>
      </c>
      <c r="L248" t="s">
        <v>21</v>
      </c>
      <c r="M248" t="s">
        <v>46</v>
      </c>
      <c r="N248">
        <f>sales_data_1[[#This Row],[Unit_Price]]-sales_data_1[[#This Row],[Unit_Cost]]</f>
        <v>48.680000000000064</v>
      </c>
      <c r="O248">
        <f>sales_data_1[[#This Row],[Unit_Price]]*sales_data_1[[#This Row],[Quantity_Sold]]</f>
        <v>62280.960000000006</v>
      </c>
      <c r="P248">
        <f>sales_data_1[[#This Row],[Unit - cost]]*sales_data_1[[#This Row],[Quantity_Sold]]</f>
        <v>2044.5600000000027</v>
      </c>
    </row>
    <row r="249" spans="1:16" x14ac:dyDescent="0.3">
      <c r="A249">
        <v>1098</v>
      </c>
      <c r="B249" s="1">
        <v>45217</v>
      </c>
      <c r="C249" t="s">
        <v>37</v>
      </c>
      <c r="D249" t="s">
        <v>20</v>
      </c>
      <c r="E249">
        <v>21</v>
      </c>
      <c r="F249" t="s">
        <v>15</v>
      </c>
      <c r="G249">
        <v>725.03</v>
      </c>
      <c r="H249">
        <v>828.94999999999993</v>
      </c>
      <c r="I249" t="s">
        <v>29</v>
      </c>
      <c r="J249">
        <v>0.18</v>
      </c>
      <c r="K249" t="s">
        <v>26</v>
      </c>
      <c r="L249" t="s">
        <v>18</v>
      </c>
      <c r="M249" t="s">
        <v>40</v>
      </c>
      <c r="N249">
        <f>sales_data_1[[#This Row],[Unit_Price]]-sales_data_1[[#This Row],[Unit_Cost]]</f>
        <v>103.91999999999996</v>
      </c>
      <c r="O249">
        <f>sales_data_1[[#This Row],[Unit_Price]]*sales_data_1[[#This Row],[Quantity_Sold]]</f>
        <v>17407.949999999997</v>
      </c>
      <c r="P249">
        <f>sales_data_1[[#This Row],[Unit - cost]]*sales_data_1[[#This Row],[Quantity_Sold]]</f>
        <v>2182.3199999999993</v>
      </c>
    </row>
    <row r="250" spans="1:16" x14ac:dyDescent="0.3">
      <c r="A250">
        <v>1070</v>
      </c>
      <c r="B250" s="1">
        <v>44989</v>
      </c>
      <c r="C250" t="s">
        <v>13</v>
      </c>
      <c r="D250" t="s">
        <v>24</v>
      </c>
      <c r="E250">
        <v>15</v>
      </c>
      <c r="F250" t="s">
        <v>34</v>
      </c>
      <c r="G250">
        <v>3653.66</v>
      </c>
      <c r="H250">
        <v>3896.19</v>
      </c>
      <c r="I250" t="s">
        <v>29</v>
      </c>
      <c r="J250">
        <v>0.03</v>
      </c>
      <c r="K250" t="s">
        <v>30</v>
      </c>
      <c r="L250" t="s">
        <v>21</v>
      </c>
      <c r="M250" t="s">
        <v>31</v>
      </c>
      <c r="N250">
        <f>sales_data_1[[#This Row],[Unit_Price]]-sales_data_1[[#This Row],[Unit_Cost]]</f>
        <v>242.5300000000002</v>
      </c>
      <c r="O250">
        <f>sales_data_1[[#This Row],[Unit_Price]]*sales_data_1[[#This Row],[Quantity_Sold]]</f>
        <v>58442.85</v>
      </c>
      <c r="P250">
        <f>sales_data_1[[#This Row],[Unit - cost]]*sales_data_1[[#This Row],[Quantity_Sold]]</f>
        <v>3637.950000000003</v>
      </c>
    </row>
    <row r="251" spans="1:16" x14ac:dyDescent="0.3">
      <c r="A251">
        <v>1086</v>
      </c>
      <c r="B251" s="1">
        <v>45170</v>
      </c>
      <c r="C251" t="s">
        <v>32</v>
      </c>
      <c r="D251" t="s">
        <v>20</v>
      </c>
      <c r="E251">
        <v>17</v>
      </c>
      <c r="F251" t="s">
        <v>34</v>
      </c>
      <c r="G251">
        <v>4075.08</v>
      </c>
      <c r="H251">
        <v>4262.21</v>
      </c>
      <c r="I251" t="s">
        <v>29</v>
      </c>
      <c r="J251">
        <v>0.17</v>
      </c>
      <c r="K251" t="s">
        <v>17</v>
      </c>
      <c r="L251" t="s">
        <v>18</v>
      </c>
      <c r="M251" t="s">
        <v>36</v>
      </c>
      <c r="N251">
        <f>sales_data_1[[#This Row],[Unit_Price]]-sales_data_1[[#This Row],[Unit_Cost]]</f>
        <v>187.13000000000011</v>
      </c>
      <c r="O251">
        <f>sales_data_1[[#This Row],[Unit_Price]]*sales_data_1[[#This Row],[Quantity_Sold]]</f>
        <v>72457.570000000007</v>
      </c>
      <c r="P251">
        <f>sales_data_1[[#This Row],[Unit - cost]]*sales_data_1[[#This Row],[Quantity_Sold]]</f>
        <v>3181.2100000000019</v>
      </c>
    </row>
    <row r="252" spans="1:16" x14ac:dyDescent="0.3">
      <c r="A252">
        <v>1011</v>
      </c>
      <c r="B252" s="1">
        <v>44951</v>
      </c>
      <c r="C252" t="s">
        <v>37</v>
      </c>
      <c r="D252" t="s">
        <v>14</v>
      </c>
      <c r="E252">
        <v>22</v>
      </c>
      <c r="F252" t="s">
        <v>34</v>
      </c>
      <c r="G252">
        <v>1324.52</v>
      </c>
      <c r="H252">
        <v>1510.3</v>
      </c>
      <c r="I252" t="s">
        <v>16</v>
      </c>
      <c r="J252">
        <v>0.15</v>
      </c>
      <c r="K252" t="s">
        <v>17</v>
      </c>
      <c r="L252" t="s">
        <v>21</v>
      </c>
      <c r="M252" t="s">
        <v>39</v>
      </c>
      <c r="N252">
        <f>sales_data_1[[#This Row],[Unit_Price]]-sales_data_1[[#This Row],[Unit_Cost]]</f>
        <v>185.77999999999997</v>
      </c>
      <c r="O252">
        <f>sales_data_1[[#This Row],[Unit_Price]]*sales_data_1[[#This Row],[Quantity_Sold]]</f>
        <v>33226.6</v>
      </c>
      <c r="P252">
        <f>sales_data_1[[#This Row],[Unit - cost]]*sales_data_1[[#This Row],[Quantity_Sold]]</f>
        <v>4087.1599999999994</v>
      </c>
    </row>
    <row r="253" spans="1:16" x14ac:dyDescent="0.3">
      <c r="A253">
        <v>1016</v>
      </c>
      <c r="B253" s="1">
        <v>45016</v>
      </c>
      <c r="C253" t="s">
        <v>37</v>
      </c>
      <c r="D253" t="s">
        <v>33</v>
      </c>
      <c r="E253">
        <v>38</v>
      </c>
      <c r="F253" t="s">
        <v>34</v>
      </c>
      <c r="G253">
        <v>3883.38</v>
      </c>
      <c r="H253">
        <v>4152.72</v>
      </c>
      <c r="I253" t="s">
        <v>16</v>
      </c>
      <c r="J253">
        <v>0.26</v>
      </c>
      <c r="K253" t="s">
        <v>17</v>
      </c>
      <c r="L253" t="s">
        <v>18</v>
      </c>
      <c r="M253" t="s">
        <v>47</v>
      </c>
      <c r="N253">
        <f>sales_data_1[[#This Row],[Unit_Price]]-sales_data_1[[#This Row],[Unit_Cost]]</f>
        <v>269.34000000000015</v>
      </c>
      <c r="O253">
        <f>sales_data_1[[#This Row],[Unit_Price]]*sales_data_1[[#This Row],[Quantity_Sold]]</f>
        <v>157803.36000000002</v>
      </c>
      <c r="P253">
        <f>sales_data_1[[#This Row],[Unit - cost]]*sales_data_1[[#This Row],[Quantity_Sold]]</f>
        <v>10234.920000000006</v>
      </c>
    </row>
    <row r="254" spans="1:16" x14ac:dyDescent="0.3">
      <c r="A254">
        <v>1097</v>
      </c>
      <c r="B254" s="1">
        <v>45001</v>
      </c>
      <c r="C254" t="s">
        <v>23</v>
      </c>
      <c r="D254" t="s">
        <v>24</v>
      </c>
      <c r="E254">
        <v>35</v>
      </c>
      <c r="F254" t="s">
        <v>25</v>
      </c>
      <c r="G254">
        <v>1958.49</v>
      </c>
      <c r="H254">
        <v>2254.84</v>
      </c>
      <c r="I254" t="s">
        <v>29</v>
      </c>
      <c r="J254">
        <v>0.16</v>
      </c>
      <c r="K254" t="s">
        <v>30</v>
      </c>
      <c r="L254" t="s">
        <v>18</v>
      </c>
      <c r="M254" t="s">
        <v>27</v>
      </c>
      <c r="N254">
        <f>sales_data_1[[#This Row],[Unit_Price]]-sales_data_1[[#This Row],[Unit_Cost]]</f>
        <v>296.35000000000014</v>
      </c>
      <c r="O254">
        <f>sales_data_1[[#This Row],[Unit_Price]]*sales_data_1[[#This Row],[Quantity_Sold]]</f>
        <v>78919.400000000009</v>
      </c>
      <c r="P254">
        <f>sales_data_1[[#This Row],[Unit - cost]]*sales_data_1[[#This Row],[Quantity_Sold]]</f>
        <v>10372.250000000005</v>
      </c>
    </row>
    <row r="255" spans="1:16" x14ac:dyDescent="0.3">
      <c r="A255">
        <v>1073</v>
      </c>
      <c r="B255" s="1">
        <v>45220</v>
      </c>
      <c r="C255" t="s">
        <v>41</v>
      </c>
      <c r="D255" t="s">
        <v>20</v>
      </c>
      <c r="E255">
        <v>45</v>
      </c>
      <c r="F255" t="s">
        <v>15</v>
      </c>
      <c r="G255">
        <v>2558.09</v>
      </c>
      <c r="H255">
        <v>2958.55</v>
      </c>
      <c r="I255" t="s">
        <v>29</v>
      </c>
      <c r="J255">
        <v>0.08</v>
      </c>
      <c r="K255" t="s">
        <v>17</v>
      </c>
      <c r="L255" t="s">
        <v>18</v>
      </c>
      <c r="M255" t="s">
        <v>50</v>
      </c>
      <c r="N255">
        <f>sales_data_1[[#This Row],[Unit_Price]]-sales_data_1[[#This Row],[Unit_Cost]]</f>
        <v>400.46000000000004</v>
      </c>
      <c r="O255">
        <f>sales_data_1[[#This Row],[Unit_Price]]*sales_data_1[[#This Row],[Quantity_Sold]]</f>
        <v>133134.75</v>
      </c>
      <c r="P255">
        <f>sales_data_1[[#This Row],[Unit - cost]]*sales_data_1[[#This Row],[Quantity_Sold]]</f>
        <v>18020.7</v>
      </c>
    </row>
    <row r="256" spans="1:16" x14ac:dyDescent="0.3">
      <c r="A256">
        <v>1059</v>
      </c>
      <c r="B256" s="1">
        <v>45136</v>
      </c>
      <c r="C256" t="s">
        <v>13</v>
      </c>
      <c r="D256" t="s">
        <v>24</v>
      </c>
      <c r="E256">
        <v>16</v>
      </c>
      <c r="F256" t="s">
        <v>15</v>
      </c>
      <c r="G256">
        <v>4287.21</v>
      </c>
      <c r="H256">
        <v>4464.28</v>
      </c>
      <c r="I256" t="s">
        <v>16</v>
      </c>
      <c r="J256">
        <v>0.2</v>
      </c>
      <c r="K256" t="s">
        <v>30</v>
      </c>
      <c r="L256" t="s">
        <v>21</v>
      </c>
      <c r="M256" t="s">
        <v>31</v>
      </c>
      <c r="N256">
        <f>sales_data_1[[#This Row],[Unit_Price]]-sales_data_1[[#This Row],[Unit_Cost]]</f>
        <v>177.06999999999971</v>
      </c>
      <c r="O256">
        <f>sales_data_1[[#This Row],[Unit_Price]]*sales_data_1[[#This Row],[Quantity_Sold]]</f>
        <v>71428.479999999996</v>
      </c>
      <c r="P256">
        <f>sales_data_1[[#This Row],[Unit - cost]]*sales_data_1[[#This Row],[Quantity_Sold]]</f>
        <v>2833.1199999999953</v>
      </c>
    </row>
    <row r="257" spans="1:16" x14ac:dyDescent="0.3">
      <c r="A257">
        <v>1070</v>
      </c>
      <c r="B257" s="1">
        <v>45273</v>
      </c>
      <c r="C257" t="s">
        <v>41</v>
      </c>
      <c r="D257" t="s">
        <v>20</v>
      </c>
      <c r="E257">
        <v>8</v>
      </c>
      <c r="F257" t="s">
        <v>28</v>
      </c>
      <c r="G257">
        <v>3762.27</v>
      </c>
      <c r="H257">
        <v>4166.95</v>
      </c>
      <c r="I257" t="s">
        <v>16</v>
      </c>
      <c r="J257">
        <v>0.16</v>
      </c>
      <c r="K257" t="s">
        <v>26</v>
      </c>
      <c r="L257" t="s">
        <v>18</v>
      </c>
      <c r="M257" t="s">
        <v>50</v>
      </c>
      <c r="N257">
        <f>sales_data_1[[#This Row],[Unit_Price]]-sales_data_1[[#This Row],[Unit_Cost]]</f>
        <v>404.67999999999984</v>
      </c>
      <c r="O257">
        <f>sales_data_1[[#This Row],[Unit_Price]]*sales_data_1[[#This Row],[Quantity_Sold]]</f>
        <v>33335.599999999999</v>
      </c>
      <c r="P257">
        <f>sales_data_1[[#This Row],[Unit - cost]]*sales_data_1[[#This Row],[Quantity_Sold]]</f>
        <v>3237.4399999999987</v>
      </c>
    </row>
    <row r="258" spans="1:16" x14ac:dyDescent="0.3">
      <c r="A258">
        <v>1080</v>
      </c>
      <c r="B258" s="1">
        <v>44943</v>
      </c>
      <c r="C258" t="s">
        <v>13</v>
      </c>
      <c r="D258" t="s">
        <v>24</v>
      </c>
      <c r="E258">
        <v>47</v>
      </c>
      <c r="F258" t="s">
        <v>15</v>
      </c>
      <c r="G258">
        <v>4035.33</v>
      </c>
      <c r="H258">
        <v>4211.25</v>
      </c>
      <c r="I258" t="s">
        <v>16</v>
      </c>
      <c r="J258">
        <v>7.0000000000000007E-2</v>
      </c>
      <c r="K258" t="s">
        <v>26</v>
      </c>
      <c r="L258" t="s">
        <v>18</v>
      </c>
      <c r="M258" t="s">
        <v>31</v>
      </c>
      <c r="N258">
        <f>sales_data_1[[#This Row],[Unit_Price]]-sales_data_1[[#This Row],[Unit_Cost]]</f>
        <v>175.92000000000007</v>
      </c>
      <c r="O258">
        <f>sales_data_1[[#This Row],[Unit_Price]]*sales_data_1[[#This Row],[Quantity_Sold]]</f>
        <v>197928.75</v>
      </c>
      <c r="P258">
        <f>sales_data_1[[#This Row],[Unit - cost]]*sales_data_1[[#This Row],[Quantity_Sold]]</f>
        <v>8268.2400000000034</v>
      </c>
    </row>
    <row r="259" spans="1:16" x14ac:dyDescent="0.3">
      <c r="A259">
        <v>1093</v>
      </c>
      <c r="B259" s="1">
        <v>45054</v>
      </c>
      <c r="C259" t="s">
        <v>13</v>
      </c>
      <c r="D259" t="s">
        <v>33</v>
      </c>
      <c r="E259">
        <v>17</v>
      </c>
      <c r="F259" t="s">
        <v>15</v>
      </c>
      <c r="G259">
        <v>727.38</v>
      </c>
      <c r="H259">
        <v>764.54</v>
      </c>
      <c r="I259" t="s">
        <v>16</v>
      </c>
      <c r="J259">
        <v>0.17</v>
      </c>
      <c r="K259" t="s">
        <v>30</v>
      </c>
      <c r="L259" t="s">
        <v>21</v>
      </c>
      <c r="M259" t="s">
        <v>45</v>
      </c>
      <c r="N259">
        <f>sales_data_1[[#This Row],[Unit_Price]]-sales_data_1[[#This Row],[Unit_Cost]]</f>
        <v>37.159999999999968</v>
      </c>
      <c r="O259">
        <f>sales_data_1[[#This Row],[Unit_Price]]*sales_data_1[[#This Row],[Quantity_Sold]]</f>
        <v>12997.18</v>
      </c>
      <c r="P259">
        <f>sales_data_1[[#This Row],[Unit - cost]]*sales_data_1[[#This Row],[Quantity_Sold]]</f>
        <v>631.71999999999946</v>
      </c>
    </row>
    <row r="260" spans="1:16" x14ac:dyDescent="0.3">
      <c r="A260">
        <v>1003</v>
      </c>
      <c r="B260" s="1">
        <v>45290</v>
      </c>
      <c r="C260" t="s">
        <v>41</v>
      </c>
      <c r="D260" t="s">
        <v>33</v>
      </c>
      <c r="E260">
        <v>17</v>
      </c>
      <c r="F260" t="s">
        <v>15</v>
      </c>
      <c r="G260">
        <v>395.11</v>
      </c>
      <c r="H260">
        <v>676.66000000000008</v>
      </c>
      <c r="I260" t="s">
        <v>16</v>
      </c>
      <c r="J260">
        <v>0.25</v>
      </c>
      <c r="K260" t="s">
        <v>17</v>
      </c>
      <c r="L260" t="s">
        <v>21</v>
      </c>
      <c r="M260" t="s">
        <v>51</v>
      </c>
      <c r="N260">
        <f>sales_data_1[[#This Row],[Unit_Price]]-sales_data_1[[#This Row],[Unit_Cost]]</f>
        <v>281.55000000000007</v>
      </c>
      <c r="O260">
        <f>sales_data_1[[#This Row],[Unit_Price]]*sales_data_1[[#This Row],[Quantity_Sold]]</f>
        <v>11503.220000000001</v>
      </c>
      <c r="P260">
        <f>sales_data_1[[#This Row],[Unit - cost]]*sales_data_1[[#This Row],[Quantity_Sold]]</f>
        <v>4786.3500000000013</v>
      </c>
    </row>
    <row r="261" spans="1:16" x14ac:dyDescent="0.3">
      <c r="A261">
        <v>1020</v>
      </c>
      <c r="B261" s="1">
        <v>45177</v>
      </c>
      <c r="C261" t="s">
        <v>37</v>
      </c>
      <c r="D261" t="s">
        <v>14</v>
      </c>
      <c r="E261">
        <v>26</v>
      </c>
      <c r="F261" t="s">
        <v>28</v>
      </c>
      <c r="G261">
        <v>4472.3500000000004</v>
      </c>
      <c r="H261">
        <v>4770.42</v>
      </c>
      <c r="I261" t="s">
        <v>29</v>
      </c>
      <c r="J261">
        <v>0.01</v>
      </c>
      <c r="K261" t="s">
        <v>30</v>
      </c>
      <c r="L261" t="s">
        <v>21</v>
      </c>
      <c r="M261" t="s">
        <v>39</v>
      </c>
      <c r="N261">
        <f>sales_data_1[[#This Row],[Unit_Price]]-sales_data_1[[#This Row],[Unit_Cost]]</f>
        <v>298.06999999999971</v>
      </c>
      <c r="O261">
        <f>sales_data_1[[#This Row],[Unit_Price]]*sales_data_1[[#This Row],[Quantity_Sold]]</f>
        <v>124030.92</v>
      </c>
      <c r="P261">
        <f>sales_data_1[[#This Row],[Unit - cost]]*sales_data_1[[#This Row],[Quantity_Sold]]</f>
        <v>7749.8199999999924</v>
      </c>
    </row>
    <row r="262" spans="1:16" x14ac:dyDescent="0.3">
      <c r="A262">
        <v>1059</v>
      </c>
      <c r="B262" s="1">
        <v>45105</v>
      </c>
      <c r="C262" t="s">
        <v>13</v>
      </c>
      <c r="D262" t="s">
        <v>14</v>
      </c>
      <c r="E262">
        <v>13</v>
      </c>
      <c r="F262" t="s">
        <v>34</v>
      </c>
      <c r="G262">
        <v>1969.78</v>
      </c>
      <c r="H262">
        <v>2437.6999999999998</v>
      </c>
      <c r="I262" t="s">
        <v>29</v>
      </c>
      <c r="J262">
        <v>0.19</v>
      </c>
      <c r="K262" t="s">
        <v>30</v>
      </c>
      <c r="L262" t="s">
        <v>21</v>
      </c>
      <c r="M262" t="s">
        <v>19</v>
      </c>
      <c r="N262">
        <f>sales_data_1[[#This Row],[Unit_Price]]-sales_data_1[[#This Row],[Unit_Cost]]</f>
        <v>467.91999999999985</v>
      </c>
      <c r="O262">
        <f>sales_data_1[[#This Row],[Unit_Price]]*sales_data_1[[#This Row],[Quantity_Sold]]</f>
        <v>31690.1</v>
      </c>
      <c r="P262">
        <f>sales_data_1[[#This Row],[Unit - cost]]*sales_data_1[[#This Row],[Quantity_Sold]]</f>
        <v>6082.9599999999982</v>
      </c>
    </row>
    <row r="263" spans="1:16" x14ac:dyDescent="0.3">
      <c r="A263">
        <v>1036</v>
      </c>
      <c r="B263" s="1">
        <v>45108</v>
      </c>
      <c r="C263" t="s">
        <v>41</v>
      </c>
      <c r="D263" t="s">
        <v>20</v>
      </c>
      <c r="E263">
        <v>17</v>
      </c>
      <c r="F263" t="s">
        <v>15</v>
      </c>
      <c r="G263">
        <v>1475</v>
      </c>
      <c r="H263">
        <v>1840.77</v>
      </c>
      <c r="I263" t="s">
        <v>16</v>
      </c>
      <c r="J263">
        <v>0.1</v>
      </c>
      <c r="K263" t="s">
        <v>30</v>
      </c>
      <c r="L263" t="s">
        <v>18</v>
      </c>
      <c r="M263" t="s">
        <v>50</v>
      </c>
      <c r="N263">
        <f>sales_data_1[[#This Row],[Unit_Price]]-sales_data_1[[#This Row],[Unit_Cost]]</f>
        <v>365.77</v>
      </c>
      <c r="O263">
        <f>sales_data_1[[#This Row],[Unit_Price]]*sales_data_1[[#This Row],[Quantity_Sold]]</f>
        <v>31293.09</v>
      </c>
      <c r="P263">
        <f>sales_data_1[[#This Row],[Unit - cost]]*sales_data_1[[#This Row],[Quantity_Sold]]</f>
        <v>6218.09</v>
      </c>
    </row>
    <row r="264" spans="1:16" x14ac:dyDescent="0.3">
      <c r="A264">
        <v>1019</v>
      </c>
      <c r="B264" s="1">
        <v>45078</v>
      </c>
      <c r="C264" t="s">
        <v>13</v>
      </c>
      <c r="D264" t="s">
        <v>33</v>
      </c>
      <c r="E264">
        <v>38</v>
      </c>
      <c r="F264" t="s">
        <v>28</v>
      </c>
      <c r="G264">
        <v>3637.25</v>
      </c>
      <c r="H264">
        <v>4096.96</v>
      </c>
      <c r="I264" t="s">
        <v>16</v>
      </c>
      <c r="J264">
        <v>0.09</v>
      </c>
      <c r="K264" t="s">
        <v>26</v>
      </c>
      <c r="L264" t="s">
        <v>18</v>
      </c>
      <c r="M264" t="s">
        <v>45</v>
      </c>
      <c r="N264">
        <f>sales_data_1[[#This Row],[Unit_Price]]-sales_data_1[[#This Row],[Unit_Cost]]</f>
        <v>459.71000000000004</v>
      </c>
      <c r="O264">
        <f>sales_data_1[[#This Row],[Unit_Price]]*sales_data_1[[#This Row],[Quantity_Sold]]</f>
        <v>155684.48000000001</v>
      </c>
      <c r="P264">
        <f>sales_data_1[[#This Row],[Unit - cost]]*sales_data_1[[#This Row],[Quantity_Sold]]</f>
        <v>17468.980000000003</v>
      </c>
    </row>
    <row r="265" spans="1:16" x14ac:dyDescent="0.3">
      <c r="A265">
        <v>1090</v>
      </c>
      <c r="B265" s="1">
        <v>44951</v>
      </c>
      <c r="C265" t="s">
        <v>32</v>
      </c>
      <c r="D265" t="s">
        <v>24</v>
      </c>
      <c r="E265">
        <v>17</v>
      </c>
      <c r="F265" t="s">
        <v>28</v>
      </c>
      <c r="G265">
        <v>4190.26</v>
      </c>
      <c r="H265">
        <v>4645.3500000000004</v>
      </c>
      <c r="I265" t="s">
        <v>29</v>
      </c>
      <c r="J265">
        <v>0.12</v>
      </c>
      <c r="K265" t="s">
        <v>30</v>
      </c>
      <c r="L265" t="s">
        <v>21</v>
      </c>
      <c r="M265" t="s">
        <v>43</v>
      </c>
      <c r="N265">
        <f>sales_data_1[[#This Row],[Unit_Price]]-sales_data_1[[#This Row],[Unit_Cost]]</f>
        <v>455.09000000000015</v>
      </c>
      <c r="O265">
        <f>sales_data_1[[#This Row],[Unit_Price]]*sales_data_1[[#This Row],[Quantity_Sold]]</f>
        <v>78970.950000000012</v>
      </c>
      <c r="P265">
        <f>sales_data_1[[#This Row],[Unit - cost]]*sales_data_1[[#This Row],[Quantity_Sold]]</f>
        <v>7736.5300000000025</v>
      </c>
    </row>
    <row r="266" spans="1:16" x14ac:dyDescent="0.3">
      <c r="A266">
        <v>1067</v>
      </c>
      <c r="B266" s="1">
        <v>45106</v>
      </c>
      <c r="C266" t="s">
        <v>37</v>
      </c>
      <c r="D266" t="s">
        <v>24</v>
      </c>
      <c r="E266">
        <v>48</v>
      </c>
      <c r="F266" t="s">
        <v>25</v>
      </c>
      <c r="G266">
        <v>4319.32</v>
      </c>
      <c r="H266">
        <v>4625.5599999999995</v>
      </c>
      <c r="I266" t="s">
        <v>16</v>
      </c>
      <c r="J266">
        <v>0.1</v>
      </c>
      <c r="K266" t="s">
        <v>26</v>
      </c>
      <c r="L266" t="s">
        <v>18</v>
      </c>
      <c r="M266" t="s">
        <v>38</v>
      </c>
      <c r="N266">
        <f>sales_data_1[[#This Row],[Unit_Price]]-sales_data_1[[#This Row],[Unit_Cost]]</f>
        <v>306.23999999999978</v>
      </c>
      <c r="O266">
        <f>sales_data_1[[#This Row],[Unit_Price]]*sales_data_1[[#This Row],[Quantity_Sold]]</f>
        <v>222026.87999999998</v>
      </c>
      <c r="P266">
        <f>sales_data_1[[#This Row],[Unit - cost]]*sales_data_1[[#This Row],[Quantity_Sold]]</f>
        <v>14699.51999999999</v>
      </c>
    </row>
    <row r="267" spans="1:16" x14ac:dyDescent="0.3">
      <c r="A267">
        <v>1019</v>
      </c>
      <c r="B267" s="1">
        <v>45124</v>
      </c>
      <c r="C267" t="s">
        <v>23</v>
      </c>
      <c r="D267" t="s">
        <v>24</v>
      </c>
      <c r="E267">
        <v>14</v>
      </c>
      <c r="F267" t="s">
        <v>28</v>
      </c>
      <c r="G267">
        <v>1614.19</v>
      </c>
      <c r="H267">
        <v>1882.79</v>
      </c>
      <c r="I267" t="s">
        <v>29</v>
      </c>
      <c r="J267">
        <v>0.25</v>
      </c>
      <c r="K267" t="s">
        <v>30</v>
      </c>
      <c r="L267" t="s">
        <v>21</v>
      </c>
      <c r="M267" t="s">
        <v>27</v>
      </c>
      <c r="N267">
        <f>sales_data_1[[#This Row],[Unit_Price]]-sales_data_1[[#This Row],[Unit_Cost]]</f>
        <v>268.59999999999991</v>
      </c>
      <c r="O267">
        <f>sales_data_1[[#This Row],[Unit_Price]]*sales_data_1[[#This Row],[Quantity_Sold]]</f>
        <v>26359.059999999998</v>
      </c>
      <c r="P267">
        <f>sales_data_1[[#This Row],[Unit - cost]]*sales_data_1[[#This Row],[Quantity_Sold]]</f>
        <v>3760.3999999999987</v>
      </c>
    </row>
    <row r="268" spans="1:16" x14ac:dyDescent="0.3">
      <c r="A268">
        <v>1020</v>
      </c>
      <c r="B268" s="1">
        <v>45270</v>
      </c>
      <c r="C268" t="s">
        <v>13</v>
      </c>
      <c r="D268" t="s">
        <v>14</v>
      </c>
      <c r="E268">
        <v>45</v>
      </c>
      <c r="F268" t="s">
        <v>34</v>
      </c>
      <c r="G268">
        <v>4268.45</v>
      </c>
      <c r="H268">
        <v>4551.5999999999995</v>
      </c>
      <c r="I268" t="s">
        <v>29</v>
      </c>
      <c r="J268">
        <v>0.08</v>
      </c>
      <c r="K268" t="s">
        <v>26</v>
      </c>
      <c r="L268" t="s">
        <v>18</v>
      </c>
      <c r="M268" t="s">
        <v>19</v>
      </c>
      <c r="N268">
        <f>sales_data_1[[#This Row],[Unit_Price]]-sales_data_1[[#This Row],[Unit_Cost]]</f>
        <v>283.14999999999964</v>
      </c>
      <c r="O268">
        <f>sales_data_1[[#This Row],[Unit_Price]]*sales_data_1[[#This Row],[Quantity_Sold]]</f>
        <v>204821.99999999997</v>
      </c>
      <c r="P268">
        <f>sales_data_1[[#This Row],[Unit - cost]]*sales_data_1[[#This Row],[Quantity_Sold]]</f>
        <v>12741.749999999984</v>
      </c>
    </row>
    <row r="269" spans="1:16" x14ac:dyDescent="0.3">
      <c r="A269">
        <v>1096</v>
      </c>
      <c r="B269" s="1">
        <v>45087</v>
      </c>
      <c r="C269" t="s">
        <v>32</v>
      </c>
      <c r="D269" t="s">
        <v>24</v>
      </c>
      <c r="E269">
        <v>6</v>
      </c>
      <c r="F269" t="s">
        <v>15</v>
      </c>
      <c r="G269">
        <v>252.62</v>
      </c>
      <c r="H269">
        <v>742</v>
      </c>
      <c r="I269" t="s">
        <v>29</v>
      </c>
      <c r="J269">
        <v>0.22</v>
      </c>
      <c r="K269" t="s">
        <v>30</v>
      </c>
      <c r="L269" t="s">
        <v>21</v>
      </c>
      <c r="M269" t="s">
        <v>43</v>
      </c>
      <c r="N269">
        <f>sales_data_1[[#This Row],[Unit_Price]]-sales_data_1[[#This Row],[Unit_Cost]]</f>
        <v>489.38</v>
      </c>
      <c r="O269">
        <f>sales_data_1[[#This Row],[Unit_Price]]*sales_data_1[[#This Row],[Quantity_Sold]]</f>
        <v>4452</v>
      </c>
      <c r="P269">
        <f>sales_data_1[[#This Row],[Unit - cost]]*sales_data_1[[#This Row],[Quantity_Sold]]</f>
        <v>2936.2799999999997</v>
      </c>
    </row>
    <row r="270" spans="1:16" x14ac:dyDescent="0.3">
      <c r="A270">
        <v>1071</v>
      </c>
      <c r="B270" s="1">
        <v>45103</v>
      </c>
      <c r="C270" t="s">
        <v>23</v>
      </c>
      <c r="D270" t="s">
        <v>14</v>
      </c>
      <c r="E270">
        <v>35</v>
      </c>
      <c r="F270" t="s">
        <v>28</v>
      </c>
      <c r="G270">
        <v>295.82</v>
      </c>
      <c r="H270">
        <v>684.67000000000007</v>
      </c>
      <c r="I270" t="s">
        <v>29</v>
      </c>
      <c r="J270">
        <v>0.03</v>
      </c>
      <c r="K270" t="s">
        <v>30</v>
      </c>
      <c r="L270" t="s">
        <v>18</v>
      </c>
      <c r="M270" t="s">
        <v>44</v>
      </c>
      <c r="N270">
        <f>sales_data_1[[#This Row],[Unit_Price]]-sales_data_1[[#This Row],[Unit_Cost]]</f>
        <v>388.85000000000008</v>
      </c>
      <c r="O270">
        <f>sales_data_1[[#This Row],[Unit_Price]]*sales_data_1[[#This Row],[Quantity_Sold]]</f>
        <v>23963.450000000004</v>
      </c>
      <c r="P270">
        <f>sales_data_1[[#This Row],[Unit - cost]]*sales_data_1[[#This Row],[Quantity_Sold]]</f>
        <v>13609.750000000004</v>
      </c>
    </row>
    <row r="271" spans="1:16" x14ac:dyDescent="0.3">
      <c r="A271">
        <v>1052</v>
      </c>
      <c r="B271" s="1">
        <v>45211</v>
      </c>
      <c r="C271" t="s">
        <v>23</v>
      </c>
      <c r="D271" t="s">
        <v>14</v>
      </c>
      <c r="E271">
        <v>46</v>
      </c>
      <c r="F271" t="s">
        <v>34</v>
      </c>
      <c r="G271">
        <v>3136.42</v>
      </c>
      <c r="H271">
        <v>3198.4900000000002</v>
      </c>
      <c r="I271" t="s">
        <v>16</v>
      </c>
      <c r="J271">
        <v>0.28999999999999998</v>
      </c>
      <c r="K271" t="s">
        <v>17</v>
      </c>
      <c r="L271" t="s">
        <v>21</v>
      </c>
      <c r="M271" t="s">
        <v>44</v>
      </c>
      <c r="N271">
        <f>sales_data_1[[#This Row],[Unit_Price]]-sales_data_1[[#This Row],[Unit_Cost]]</f>
        <v>62.070000000000164</v>
      </c>
      <c r="O271">
        <f>sales_data_1[[#This Row],[Unit_Price]]*sales_data_1[[#This Row],[Quantity_Sold]]</f>
        <v>147130.54</v>
      </c>
      <c r="P271">
        <f>sales_data_1[[#This Row],[Unit - cost]]*sales_data_1[[#This Row],[Quantity_Sold]]</f>
        <v>2855.2200000000075</v>
      </c>
    </row>
    <row r="272" spans="1:16" x14ac:dyDescent="0.3">
      <c r="A272">
        <v>1033</v>
      </c>
      <c r="B272" s="1">
        <v>44989</v>
      </c>
      <c r="C272" t="s">
        <v>13</v>
      </c>
      <c r="D272" t="s">
        <v>20</v>
      </c>
      <c r="E272">
        <v>14</v>
      </c>
      <c r="F272" t="s">
        <v>28</v>
      </c>
      <c r="G272">
        <v>362.38</v>
      </c>
      <c r="H272">
        <v>753.81</v>
      </c>
      <c r="I272" t="s">
        <v>16</v>
      </c>
      <c r="J272">
        <v>0.19</v>
      </c>
      <c r="K272" t="s">
        <v>17</v>
      </c>
      <c r="L272" t="s">
        <v>21</v>
      </c>
      <c r="M272" t="s">
        <v>22</v>
      </c>
      <c r="N272">
        <f>sales_data_1[[#This Row],[Unit_Price]]-sales_data_1[[#This Row],[Unit_Cost]]</f>
        <v>391.42999999999995</v>
      </c>
      <c r="O272">
        <f>sales_data_1[[#This Row],[Unit_Price]]*sales_data_1[[#This Row],[Quantity_Sold]]</f>
        <v>10553.34</v>
      </c>
      <c r="P272">
        <f>sales_data_1[[#This Row],[Unit - cost]]*sales_data_1[[#This Row],[Quantity_Sold]]</f>
        <v>5480.0199999999995</v>
      </c>
    </row>
    <row r="273" spans="1:16" x14ac:dyDescent="0.3">
      <c r="A273">
        <v>1040</v>
      </c>
      <c r="B273" s="1">
        <v>45076</v>
      </c>
      <c r="C273" t="s">
        <v>41</v>
      </c>
      <c r="D273" t="s">
        <v>24</v>
      </c>
      <c r="E273">
        <v>47</v>
      </c>
      <c r="F273" t="s">
        <v>28</v>
      </c>
      <c r="G273">
        <v>1656.82</v>
      </c>
      <c r="H273">
        <v>1750.3799999999999</v>
      </c>
      <c r="I273" t="s">
        <v>29</v>
      </c>
      <c r="J273">
        <v>0.21</v>
      </c>
      <c r="K273" t="s">
        <v>30</v>
      </c>
      <c r="L273" t="s">
        <v>18</v>
      </c>
      <c r="M273" t="s">
        <v>42</v>
      </c>
      <c r="N273">
        <f>sales_data_1[[#This Row],[Unit_Price]]-sales_data_1[[#This Row],[Unit_Cost]]</f>
        <v>93.559999999999945</v>
      </c>
      <c r="O273">
        <f>sales_data_1[[#This Row],[Unit_Price]]*sales_data_1[[#This Row],[Quantity_Sold]]</f>
        <v>82267.86</v>
      </c>
      <c r="P273">
        <f>sales_data_1[[#This Row],[Unit - cost]]*sales_data_1[[#This Row],[Quantity_Sold]]</f>
        <v>4397.3199999999979</v>
      </c>
    </row>
    <row r="274" spans="1:16" x14ac:dyDescent="0.3">
      <c r="A274">
        <v>1039</v>
      </c>
      <c r="B274" s="1">
        <v>45080</v>
      </c>
      <c r="C274" t="s">
        <v>13</v>
      </c>
      <c r="D274" t="s">
        <v>24</v>
      </c>
      <c r="E274">
        <v>8</v>
      </c>
      <c r="F274" t="s">
        <v>28</v>
      </c>
      <c r="G274">
        <v>3380.14</v>
      </c>
      <c r="H274">
        <v>3609.3399999999997</v>
      </c>
      <c r="I274" t="s">
        <v>16</v>
      </c>
      <c r="J274">
        <v>0.09</v>
      </c>
      <c r="K274" t="s">
        <v>30</v>
      </c>
      <c r="L274" t="s">
        <v>18</v>
      </c>
      <c r="M274" t="s">
        <v>31</v>
      </c>
      <c r="N274">
        <f>sales_data_1[[#This Row],[Unit_Price]]-sales_data_1[[#This Row],[Unit_Cost]]</f>
        <v>229.19999999999982</v>
      </c>
      <c r="O274">
        <f>sales_data_1[[#This Row],[Unit_Price]]*sales_data_1[[#This Row],[Quantity_Sold]]</f>
        <v>28874.719999999998</v>
      </c>
      <c r="P274">
        <f>sales_data_1[[#This Row],[Unit - cost]]*sales_data_1[[#This Row],[Quantity_Sold]]</f>
        <v>1833.5999999999985</v>
      </c>
    </row>
    <row r="275" spans="1:16" x14ac:dyDescent="0.3">
      <c r="A275">
        <v>1082</v>
      </c>
      <c r="B275" s="1">
        <v>45082</v>
      </c>
      <c r="C275" t="s">
        <v>32</v>
      </c>
      <c r="D275" t="s">
        <v>33</v>
      </c>
      <c r="E275">
        <v>15</v>
      </c>
      <c r="F275" t="s">
        <v>28</v>
      </c>
      <c r="G275">
        <v>1719.47</v>
      </c>
      <c r="H275">
        <v>1832.6</v>
      </c>
      <c r="I275" t="s">
        <v>16</v>
      </c>
      <c r="J275">
        <v>0.12</v>
      </c>
      <c r="K275" t="s">
        <v>30</v>
      </c>
      <c r="L275" t="s">
        <v>18</v>
      </c>
      <c r="M275" t="s">
        <v>35</v>
      </c>
      <c r="N275">
        <f>sales_data_1[[#This Row],[Unit_Price]]-sales_data_1[[#This Row],[Unit_Cost]]</f>
        <v>113.12999999999988</v>
      </c>
      <c r="O275">
        <f>sales_data_1[[#This Row],[Unit_Price]]*sales_data_1[[#This Row],[Quantity_Sold]]</f>
        <v>27489</v>
      </c>
      <c r="P275">
        <f>sales_data_1[[#This Row],[Unit - cost]]*sales_data_1[[#This Row],[Quantity_Sold]]</f>
        <v>1696.9499999999982</v>
      </c>
    </row>
    <row r="276" spans="1:16" x14ac:dyDescent="0.3">
      <c r="A276">
        <v>1001</v>
      </c>
      <c r="B276" s="1">
        <v>44975</v>
      </c>
      <c r="C276" t="s">
        <v>23</v>
      </c>
      <c r="D276" t="s">
        <v>20</v>
      </c>
      <c r="E276">
        <v>27</v>
      </c>
      <c r="F276" t="s">
        <v>28</v>
      </c>
      <c r="G276">
        <v>939.02</v>
      </c>
      <c r="H276">
        <v>1286.92</v>
      </c>
      <c r="I276" t="s">
        <v>16</v>
      </c>
      <c r="J276">
        <v>7.0000000000000007E-2</v>
      </c>
      <c r="K276" t="s">
        <v>30</v>
      </c>
      <c r="L276" t="s">
        <v>21</v>
      </c>
      <c r="M276" t="s">
        <v>46</v>
      </c>
      <c r="N276">
        <f>sales_data_1[[#This Row],[Unit_Price]]-sales_data_1[[#This Row],[Unit_Cost]]</f>
        <v>347.90000000000009</v>
      </c>
      <c r="O276">
        <f>sales_data_1[[#This Row],[Unit_Price]]*sales_data_1[[#This Row],[Quantity_Sold]]</f>
        <v>34746.840000000004</v>
      </c>
      <c r="P276">
        <f>sales_data_1[[#This Row],[Unit - cost]]*sales_data_1[[#This Row],[Quantity_Sold]]</f>
        <v>9393.3000000000029</v>
      </c>
    </row>
    <row r="277" spans="1:16" x14ac:dyDescent="0.3">
      <c r="A277">
        <v>1011</v>
      </c>
      <c r="B277" s="1">
        <v>45263</v>
      </c>
      <c r="C277" t="s">
        <v>13</v>
      </c>
      <c r="D277" t="s">
        <v>33</v>
      </c>
      <c r="E277">
        <v>13</v>
      </c>
      <c r="F277" t="s">
        <v>34</v>
      </c>
      <c r="G277">
        <v>1442.69</v>
      </c>
      <c r="H277">
        <v>1882.5700000000002</v>
      </c>
      <c r="I277" t="s">
        <v>16</v>
      </c>
      <c r="J277">
        <v>0.28000000000000003</v>
      </c>
      <c r="K277" t="s">
        <v>17</v>
      </c>
      <c r="L277" t="s">
        <v>18</v>
      </c>
      <c r="M277" t="s">
        <v>45</v>
      </c>
      <c r="N277">
        <f>sales_data_1[[#This Row],[Unit_Price]]-sales_data_1[[#This Row],[Unit_Cost]]</f>
        <v>439.88000000000011</v>
      </c>
      <c r="O277">
        <f>sales_data_1[[#This Row],[Unit_Price]]*sales_data_1[[#This Row],[Quantity_Sold]]</f>
        <v>24473.410000000003</v>
      </c>
      <c r="P277">
        <f>sales_data_1[[#This Row],[Unit - cost]]*sales_data_1[[#This Row],[Quantity_Sold]]</f>
        <v>5718.4400000000014</v>
      </c>
    </row>
    <row r="278" spans="1:16" x14ac:dyDescent="0.3">
      <c r="A278">
        <v>1092</v>
      </c>
      <c r="B278" s="1">
        <v>45010</v>
      </c>
      <c r="C278" t="s">
        <v>41</v>
      </c>
      <c r="D278" t="s">
        <v>20</v>
      </c>
      <c r="E278">
        <v>49</v>
      </c>
      <c r="F278" t="s">
        <v>15</v>
      </c>
      <c r="G278">
        <v>2315</v>
      </c>
      <c r="H278">
        <v>2467.2800000000002</v>
      </c>
      <c r="I278" t="s">
        <v>29</v>
      </c>
      <c r="J278">
        <v>0.15</v>
      </c>
      <c r="K278" t="s">
        <v>26</v>
      </c>
      <c r="L278" t="s">
        <v>21</v>
      </c>
      <c r="M278" t="s">
        <v>50</v>
      </c>
      <c r="N278">
        <f>sales_data_1[[#This Row],[Unit_Price]]-sales_data_1[[#This Row],[Unit_Cost]]</f>
        <v>152.2800000000002</v>
      </c>
      <c r="O278">
        <f>sales_data_1[[#This Row],[Unit_Price]]*sales_data_1[[#This Row],[Quantity_Sold]]</f>
        <v>120896.72000000002</v>
      </c>
      <c r="P278">
        <f>sales_data_1[[#This Row],[Unit - cost]]*sales_data_1[[#This Row],[Quantity_Sold]]</f>
        <v>7461.7200000000103</v>
      </c>
    </row>
    <row r="279" spans="1:16" x14ac:dyDescent="0.3">
      <c r="A279">
        <v>1057</v>
      </c>
      <c r="B279" s="1">
        <v>45287</v>
      </c>
      <c r="C279" t="s">
        <v>13</v>
      </c>
      <c r="D279" t="s">
        <v>24</v>
      </c>
      <c r="E279">
        <v>31</v>
      </c>
      <c r="F279" t="s">
        <v>15</v>
      </c>
      <c r="G279">
        <v>2403.16</v>
      </c>
      <c r="H279">
        <v>2453.35</v>
      </c>
      <c r="I279" t="s">
        <v>16</v>
      </c>
      <c r="J279">
        <v>0.19</v>
      </c>
      <c r="K279" t="s">
        <v>30</v>
      </c>
      <c r="L279" t="s">
        <v>18</v>
      </c>
      <c r="M279" t="s">
        <v>31</v>
      </c>
      <c r="N279">
        <f>sales_data_1[[#This Row],[Unit_Price]]-sales_data_1[[#This Row],[Unit_Cost]]</f>
        <v>50.190000000000055</v>
      </c>
      <c r="O279">
        <f>sales_data_1[[#This Row],[Unit_Price]]*sales_data_1[[#This Row],[Quantity_Sold]]</f>
        <v>76053.849999999991</v>
      </c>
      <c r="P279">
        <f>sales_data_1[[#This Row],[Unit - cost]]*sales_data_1[[#This Row],[Quantity_Sold]]</f>
        <v>1555.8900000000017</v>
      </c>
    </row>
    <row r="280" spans="1:16" x14ac:dyDescent="0.3">
      <c r="A280">
        <v>1089</v>
      </c>
      <c r="B280" s="1">
        <v>45103</v>
      </c>
      <c r="C280" t="s">
        <v>37</v>
      </c>
      <c r="D280" t="s">
        <v>14</v>
      </c>
      <c r="E280">
        <v>35</v>
      </c>
      <c r="F280" t="s">
        <v>15</v>
      </c>
      <c r="G280">
        <v>3925.85</v>
      </c>
      <c r="H280">
        <v>4082.1099999999997</v>
      </c>
      <c r="I280" t="s">
        <v>29</v>
      </c>
      <c r="J280">
        <v>0.22</v>
      </c>
      <c r="K280" t="s">
        <v>17</v>
      </c>
      <c r="L280" t="s">
        <v>18</v>
      </c>
      <c r="M280" t="s">
        <v>39</v>
      </c>
      <c r="N280">
        <f>sales_data_1[[#This Row],[Unit_Price]]-sales_data_1[[#This Row],[Unit_Cost]]</f>
        <v>156.25999999999976</v>
      </c>
      <c r="O280">
        <f>sales_data_1[[#This Row],[Unit_Price]]*sales_data_1[[#This Row],[Quantity_Sold]]</f>
        <v>142873.84999999998</v>
      </c>
      <c r="P280">
        <f>sales_data_1[[#This Row],[Unit - cost]]*sales_data_1[[#This Row],[Quantity_Sold]]</f>
        <v>5469.0999999999913</v>
      </c>
    </row>
    <row r="281" spans="1:16" x14ac:dyDescent="0.3">
      <c r="A281">
        <v>1050</v>
      </c>
      <c r="B281" s="1">
        <v>45074</v>
      </c>
      <c r="C281" t="s">
        <v>41</v>
      </c>
      <c r="D281" t="s">
        <v>14</v>
      </c>
      <c r="E281">
        <v>6</v>
      </c>
      <c r="F281" t="s">
        <v>15</v>
      </c>
      <c r="G281">
        <v>3763.26</v>
      </c>
      <c r="H281">
        <v>4102.72</v>
      </c>
      <c r="I281" t="s">
        <v>29</v>
      </c>
      <c r="J281">
        <v>0.11</v>
      </c>
      <c r="K281" t="s">
        <v>30</v>
      </c>
      <c r="L281" t="s">
        <v>21</v>
      </c>
      <c r="M281" t="s">
        <v>48</v>
      </c>
      <c r="N281">
        <f>sales_data_1[[#This Row],[Unit_Price]]-sales_data_1[[#This Row],[Unit_Cost]]</f>
        <v>339.46000000000004</v>
      </c>
      <c r="O281">
        <f>sales_data_1[[#This Row],[Unit_Price]]*sales_data_1[[#This Row],[Quantity_Sold]]</f>
        <v>24616.32</v>
      </c>
      <c r="P281">
        <f>sales_data_1[[#This Row],[Unit - cost]]*sales_data_1[[#This Row],[Quantity_Sold]]</f>
        <v>2036.7600000000002</v>
      </c>
    </row>
    <row r="282" spans="1:16" x14ac:dyDescent="0.3">
      <c r="A282">
        <v>1023</v>
      </c>
      <c r="B282" s="1">
        <v>45044</v>
      </c>
      <c r="C282" t="s">
        <v>32</v>
      </c>
      <c r="D282" t="s">
        <v>14</v>
      </c>
      <c r="E282">
        <v>5</v>
      </c>
      <c r="F282" t="s">
        <v>34</v>
      </c>
      <c r="G282">
        <v>2311.25</v>
      </c>
      <c r="H282">
        <v>2482.34</v>
      </c>
      <c r="I282" t="s">
        <v>16</v>
      </c>
      <c r="J282">
        <v>0.22</v>
      </c>
      <c r="K282" t="s">
        <v>30</v>
      </c>
      <c r="L282" t="s">
        <v>21</v>
      </c>
      <c r="M282" t="s">
        <v>52</v>
      </c>
      <c r="N282">
        <f>sales_data_1[[#This Row],[Unit_Price]]-sales_data_1[[#This Row],[Unit_Cost]]</f>
        <v>171.09000000000015</v>
      </c>
      <c r="O282">
        <f>sales_data_1[[#This Row],[Unit_Price]]*sales_data_1[[#This Row],[Quantity_Sold]]</f>
        <v>12411.7</v>
      </c>
      <c r="P282">
        <f>sales_data_1[[#This Row],[Unit - cost]]*sales_data_1[[#This Row],[Quantity_Sold]]</f>
        <v>855.45000000000073</v>
      </c>
    </row>
    <row r="283" spans="1:16" x14ac:dyDescent="0.3">
      <c r="A283">
        <v>1031</v>
      </c>
      <c r="B283" s="1">
        <v>45268</v>
      </c>
      <c r="C283" t="s">
        <v>23</v>
      </c>
      <c r="D283" t="s">
        <v>14</v>
      </c>
      <c r="E283">
        <v>22</v>
      </c>
      <c r="F283" t="s">
        <v>25</v>
      </c>
      <c r="G283">
        <v>4236.05</v>
      </c>
      <c r="H283">
        <v>4382.3200000000006</v>
      </c>
      <c r="I283" t="s">
        <v>29</v>
      </c>
      <c r="J283">
        <v>0.2</v>
      </c>
      <c r="K283" t="s">
        <v>26</v>
      </c>
      <c r="L283" t="s">
        <v>18</v>
      </c>
      <c r="M283" t="s">
        <v>44</v>
      </c>
      <c r="N283">
        <f>sales_data_1[[#This Row],[Unit_Price]]-sales_data_1[[#This Row],[Unit_Cost]]</f>
        <v>146.27000000000044</v>
      </c>
      <c r="O283">
        <f>sales_data_1[[#This Row],[Unit_Price]]*sales_data_1[[#This Row],[Quantity_Sold]]</f>
        <v>96411.040000000008</v>
      </c>
      <c r="P283">
        <f>sales_data_1[[#This Row],[Unit - cost]]*sales_data_1[[#This Row],[Quantity_Sold]]</f>
        <v>3217.9400000000096</v>
      </c>
    </row>
    <row r="284" spans="1:16" x14ac:dyDescent="0.3">
      <c r="A284">
        <v>1094</v>
      </c>
      <c r="B284" s="1">
        <v>44989</v>
      </c>
      <c r="C284" t="s">
        <v>13</v>
      </c>
      <c r="D284" t="s">
        <v>14</v>
      </c>
      <c r="E284">
        <v>49</v>
      </c>
      <c r="F284" t="s">
        <v>25</v>
      </c>
      <c r="G284">
        <v>615.47</v>
      </c>
      <c r="H284">
        <v>715.84</v>
      </c>
      <c r="I284" t="s">
        <v>16</v>
      </c>
      <c r="J284">
        <v>0.21</v>
      </c>
      <c r="K284" t="s">
        <v>30</v>
      </c>
      <c r="L284" t="s">
        <v>21</v>
      </c>
      <c r="M284" t="s">
        <v>19</v>
      </c>
      <c r="N284">
        <f>sales_data_1[[#This Row],[Unit_Price]]-sales_data_1[[#This Row],[Unit_Cost]]</f>
        <v>100.37</v>
      </c>
      <c r="O284">
        <f>sales_data_1[[#This Row],[Unit_Price]]*sales_data_1[[#This Row],[Quantity_Sold]]</f>
        <v>35076.160000000003</v>
      </c>
      <c r="P284">
        <f>sales_data_1[[#This Row],[Unit - cost]]*sales_data_1[[#This Row],[Quantity_Sold]]</f>
        <v>4918.13</v>
      </c>
    </row>
    <row r="285" spans="1:16" x14ac:dyDescent="0.3">
      <c r="A285">
        <v>1042</v>
      </c>
      <c r="B285" s="1">
        <v>45115</v>
      </c>
      <c r="C285" t="s">
        <v>41</v>
      </c>
      <c r="D285" t="s">
        <v>33</v>
      </c>
      <c r="E285">
        <v>23</v>
      </c>
      <c r="F285" t="s">
        <v>34</v>
      </c>
      <c r="G285">
        <v>1314</v>
      </c>
      <c r="H285">
        <v>1567.78</v>
      </c>
      <c r="I285" t="s">
        <v>16</v>
      </c>
      <c r="J285">
        <v>0.15</v>
      </c>
      <c r="K285" t="s">
        <v>30</v>
      </c>
      <c r="L285" t="s">
        <v>21</v>
      </c>
      <c r="M285" t="s">
        <v>51</v>
      </c>
      <c r="N285">
        <f>sales_data_1[[#This Row],[Unit_Price]]-sales_data_1[[#This Row],[Unit_Cost]]</f>
        <v>253.77999999999997</v>
      </c>
      <c r="O285">
        <f>sales_data_1[[#This Row],[Unit_Price]]*sales_data_1[[#This Row],[Quantity_Sold]]</f>
        <v>36058.94</v>
      </c>
      <c r="P285">
        <f>sales_data_1[[#This Row],[Unit - cost]]*sales_data_1[[#This Row],[Quantity_Sold]]</f>
        <v>5836.94</v>
      </c>
    </row>
    <row r="286" spans="1:16" x14ac:dyDescent="0.3">
      <c r="A286">
        <v>1099</v>
      </c>
      <c r="B286" s="1">
        <v>45286</v>
      </c>
      <c r="C286" t="s">
        <v>37</v>
      </c>
      <c r="D286" t="s">
        <v>20</v>
      </c>
      <c r="E286">
        <v>25</v>
      </c>
      <c r="F286" t="s">
        <v>34</v>
      </c>
      <c r="G286">
        <v>4148.4799999999996</v>
      </c>
      <c r="H286">
        <v>4293.6899999999996</v>
      </c>
      <c r="I286" t="s">
        <v>29</v>
      </c>
      <c r="J286">
        <v>0.11</v>
      </c>
      <c r="K286" t="s">
        <v>26</v>
      </c>
      <c r="L286" t="s">
        <v>18</v>
      </c>
      <c r="M286" t="s">
        <v>40</v>
      </c>
      <c r="N286">
        <f>sales_data_1[[#This Row],[Unit_Price]]-sales_data_1[[#This Row],[Unit_Cost]]</f>
        <v>145.21000000000004</v>
      </c>
      <c r="O286">
        <f>sales_data_1[[#This Row],[Unit_Price]]*sales_data_1[[#This Row],[Quantity_Sold]]</f>
        <v>107342.24999999999</v>
      </c>
      <c r="P286">
        <f>sales_data_1[[#This Row],[Unit - cost]]*sales_data_1[[#This Row],[Quantity_Sold]]</f>
        <v>3630.2500000000009</v>
      </c>
    </row>
    <row r="287" spans="1:16" x14ac:dyDescent="0.3">
      <c r="A287">
        <v>1007</v>
      </c>
      <c r="B287" s="1">
        <v>44975</v>
      </c>
      <c r="C287" t="s">
        <v>41</v>
      </c>
      <c r="D287" t="s">
        <v>24</v>
      </c>
      <c r="E287">
        <v>34</v>
      </c>
      <c r="F287" t="s">
        <v>28</v>
      </c>
      <c r="G287">
        <v>1921.07</v>
      </c>
      <c r="H287">
        <v>2289.27</v>
      </c>
      <c r="I287" t="s">
        <v>16</v>
      </c>
      <c r="J287">
        <v>7.0000000000000007E-2</v>
      </c>
      <c r="K287" t="s">
        <v>26</v>
      </c>
      <c r="L287" t="s">
        <v>21</v>
      </c>
      <c r="M287" t="s">
        <v>42</v>
      </c>
      <c r="N287">
        <f>sales_data_1[[#This Row],[Unit_Price]]-sales_data_1[[#This Row],[Unit_Cost]]</f>
        <v>368.20000000000005</v>
      </c>
      <c r="O287">
        <f>sales_data_1[[#This Row],[Unit_Price]]*sales_data_1[[#This Row],[Quantity_Sold]]</f>
        <v>77835.179999999993</v>
      </c>
      <c r="P287">
        <f>sales_data_1[[#This Row],[Unit - cost]]*sales_data_1[[#This Row],[Quantity_Sold]]</f>
        <v>12518.800000000001</v>
      </c>
    </row>
    <row r="288" spans="1:16" x14ac:dyDescent="0.3">
      <c r="A288">
        <v>1016</v>
      </c>
      <c r="B288" s="1">
        <v>45253</v>
      </c>
      <c r="C288" t="s">
        <v>37</v>
      </c>
      <c r="D288" t="s">
        <v>33</v>
      </c>
      <c r="E288">
        <v>26</v>
      </c>
      <c r="F288" t="s">
        <v>28</v>
      </c>
      <c r="G288">
        <v>4906.8500000000004</v>
      </c>
      <c r="H288">
        <v>4954.3900000000003</v>
      </c>
      <c r="I288" t="s">
        <v>29</v>
      </c>
      <c r="J288">
        <v>0.25</v>
      </c>
      <c r="K288" t="s">
        <v>26</v>
      </c>
      <c r="L288" t="s">
        <v>18</v>
      </c>
      <c r="M288" t="s">
        <v>47</v>
      </c>
      <c r="N288">
        <f>sales_data_1[[#This Row],[Unit_Price]]-sales_data_1[[#This Row],[Unit_Cost]]</f>
        <v>47.539999999999964</v>
      </c>
      <c r="O288">
        <f>sales_data_1[[#This Row],[Unit_Price]]*sales_data_1[[#This Row],[Quantity_Sold]]</f>
        <v>128814.14000000001</v>
      </c>
      <c r="P288">
        <f>sales_data_1[[#This Row],[Unit - cost]]*sales_data_1[[#This Row],[Quantity_Sold]]</f>
        <v>1236.0399999999991</v>
      </c>
    </row>
    <row r="289" spans="1:16" x14ac:dyDescent="0.3">
      <c r="A289">
        <v>1090</v>
      </c>
      <c r="B289" s="1">
        <v>45183</v>
      </c>
      <c r="C289" t="s">
        <v>32</v>
      </c>
      <c r="D289" t="s">
        <v>20</v>
      </c>
      <c r="E289">
        <v>47</v>
      </c>
      <c r="F289" t="s">
        <v>28</v>
      </c>
      <c r="G289">
        <v>2357.9499999999998</v>
      </c>
      <c r="H289">
        <v>2693.33</v>
      </c>
      <c r="I289" t="s">
        <v>29</v>
      </c>
      <c r="J289">
        <v>0.18</v>
      </c>
      <c r="K289" t="s">
        <v>26</v>
      </c>
      <c r="L289" t="s">
        <v>18</v>
      </c>
      <c r="M289" t="s">
        <v>36</v>
      </c>
      <c r="N289">
        <f>sales_data_1[[#This Row],[Unit_Price]]-sales_data_1[[#This Row],[Unit_Cost]]</f>
        <v>335.38000000000011</v>
      </c>
      <c r="O289">
        <f>sales_data_1[[#This Row],[Unit_Price]]*sales_data_1[[#This Row],[Quantity_Sold]]</f>
        <v>126586.51</v>
      </c>
      <c r="P289">
        <f>sales_data_1[[#This Row],[Unit - cost]]*sales_data_1[[#This Row],[Quantity_Sold]]</f>
        <v>15762.860000000004</v>
      </c>
    </row>
    <row r="290" spans="1:16" x14ac:dyDescent="0.3">
      <c r="A290">
        <v>1060</v>
      </c>
      <c r="B290" s="1">
        <v>45150</v>
      </c>
      <c r="C290" t="s">
        <v>23</v>
      </c>
      <c r="D290" t="s">
        <v>14</v>
      </c>
      <c r="E290">
        <v>5</v>
      </c>
      <c r="F290" t="s">
        <v>15</v>
      </c>
      <c r="G290">
        <v>3970.08</v>
      </c>
      <c r="H290">
        <v>4096.4799999999996</v>
      </c>
      <c r="I290" t="s">
        <v>16</v>
      </c>
      <c r="J290">
        <v>0.13</v>
      </c>
      <c r="K290" t="s">
        <v>17</v>
      </c>
      <c r="L290" t="s">
        <v>21</v>
      </c>
      <c r="M290" t="s">
        <v>44</v>
      </c>
      <c r="N290">
        <f>sales_data_1[[#This Row],[Unit_Price]]-sales_data_1[[#This Row],[Unit_Cost]]</f>
        <v>126.39999999999964</v>
      </c>
      <c r="O290">
        <f>sales_data_1[[#This Row],[Unit_Price]]*sales_data_1[[#This Row],[Quantity_Sold]]</f>
        <v>20482.399999999998</v>
      </c>
      <c r="P290">
        <f>sales_data_1[[#This Row],[Unit - cost]]*sales_data_1[[#This Row],[Quantity_Sold]]</f>
        <v>631.99999999999818</v>
      </c>
    </row>
    <row r="291" spans="1:16" x14ac:dyDescent="0.3">
      <c r="A291">
        <v>1002</v>
      </c>
      <c r="B291" s="1">
        <v>45067</v>
      </c>
      <c r="C291" t="s">
        <v>32</v>
      </c>
      <c r="D291" t="s">
        <v>20</v>
      </c>
      <c r="E291">
        <v>26</v>
      </c>
      <c r="F291" t="s">
        <v>28</v>
      </c>
      <c r="G291">
        <v>2041.42</v>
      </c>
      <c r="H291">
        <v>2291.17</v>
      </c>
      <c r="I291" t="s">
        <v>16</v>
      </c>
      <c r="J291">
        <v>0.28000000000000003</v>
      </c>
      <c r="K291" t="s">
        <v>17</v>
      </c>
      <c r="L291" t="s">
        <v>18</v>
      </c>
      <c r="M291" t="s">
        <v>36</v>
      </c>
      <c r="N291">
        <f>sales_data_1[[#This Row],[Unit_Price]]-sales_data_1[[#This Row],[Unit_Cost]]</f>
        <v>249.75</v>
      </c>
      <c r="O291">
        <f>sales_data_1[[#This Row],[Unit_Price]]*sales_data_1[[#This Row],[Quantity_Sold]]</f>
        <v>59570.42</v>
      </c>
      <c r="P291">
        <f>sales_data_1[[#This Row],[Unit - cost]]*sales_data_1[[#This Row],[Quantity_Sold]]</f>
        <v>6493.5</v>
      </c>
    </row>
    <row r="292" spans="1:16" x14ac:dyDescent="0.3">
      <c r="A292">
        <v>1001</v>
      </c>
      <c r="B292" s="1">
        <v>45141</v>
      </c>
      <c r="C292" t="s">
        <v>13</v>
      </c>
      <c r="D292" t="s">
        <v>20</v>
      </c>
      <c r="E292">
        <v>20</v>
      </c>
      <c r="F292" t="s">
        <v>25</v>
      </c>
      <c r="G292">
        <v>2153.52</v>
      </c>
      <c r="H292">
        <v>2303.6999999999998</v>
      </c>
      <c r="I292" t="s">
        <v>16</v>
      </c>
      <c r="J292">
        <v>0.01</v>
      </c>
      <c r="K292" t="s">
        <v>17</v>
      </c>
      <c r="L292" t="s">
        <v>21</v>
      </c>
      <c r="M292" t="s">
        <v>22</v>
      </c>
      <c r="N292">
        <f>sales_data_1[[#This Row],[Unit_Price]]-sales_data_1[[#This Row],[Unit_Cost]]</f>
        <v>150.17999999999984</v>
      </c>
      <c r="O292">
        <f>sales_data_1[[#This Row],[Unit_Price]]*sales_data_1[[#This Row],[Quantity_Sold]]</f>
        <v>46074</v>
      </c>
      <c r="P292">
        <f>sales_data_1[[#This Row],[Unit - cost]]*sales_data_1[[#This Row],[Quantity_Sold]]</f>
        <v>3003.5999999999967</v>
      </c>
    </row>
    <row r="293" spans="1:16" x14ac:dyDescent="0.3">
      <c r="A293">
        <v>1048</v>
      </c>
      <c r="B293" s="1">
        <v>45137</v>
      </c>
      <c r="C293" t="s">
        <v>41</v>
      </c>
      <c r="D293" t="s">
        <v>14</v>
      </c>
      <c r="E293">
        <v>6</v>
      </c>
      <c r="F293" t="s">
        <v>15</v>
      </c>
      <c r="G293">
        <v>1945.27</v>
      </c>
      <c r="H293">
        <v>2309.4299999999998</v>
      </c>
      <c r="I293" t="s">
        <v>29</v>
      </c>
      <c r="J293">
        <v>0.26</v>
      </c>
      <c r="K293" t="s">
        <v>30</v>
      </c>
      <c r="L293" t="s">
        <v>18</v>
      </c>
      <c r="M293" t="s">
        <v>48</v>
      </c>
      <c r="N293">
        <f>sales_data_1[[#This Row],[Unit_Price]]-sales_data_1[[#This Row],[Unit_Cost]]</f>
        <v>364.15999999999985</v>
      </c>
      <c r="O293">
        <f>sales_data_1[[#This Row],[Unit_Price]]*sales_data_1[[#This Row],[Quantity_Sold]]</f>
        <v>13856.579999999998</v>
      </c>
      <c r="P293">
        <f>sales_data_1[[#This Row],[Unit - cost]]*sales_data_1[[#This Row],[Quantity_Sold]]</f>
        <v>2184.9599999999991</v>
      </c>
    </row>
    <row r="294" spans="1:16" x14ac:dyDescent="0.3">
      <c r="A294">
        <v>1012</v>
      </c>
      <c r="B294" s="1">
        <v>45244</v>
      </c>
      <c r="C294" t="s">
        <v>37</v>
      </c>
      <c r="D294" t="s">
        <v>14</v>
      </c>
      <c r="E294">
        <v>6</v>
      </c>
      <c r="F294" t="s">
        <v>28</v>
      </c>
      <c r="G294">
        <v>3609.42</v>
      </c>
      <c r="H294">
        <v>4082.62</v>
      </c>
      <c r="I294" t="s">
        <v>16</v>
      </c>
      <c r="J294">
        <v>0.3</v>
      </c>
      <c r="K294" t="s">
        <v>26</v>
      </c>
      <c r="L294" t="s">
        <v>21</v>
      </c>
      <c r="M294" t="s">
        <v>39</v>
      </c>
      <c r="N294">
        <f>sales_data_1[[#This Row],[Unit_Price]]-sales_data_1[[#This Row],[Unit_Cost]]</f>
        <v>473.19999999999982</v>
      </c>
      <c r="O294">
        <f>sales_data_1[[#This Row],[Unit_Price]]*sales_data_1[[#This Row],[Quantity_Sold]]</f>
        <v>24495.72</v>
      </c>
      <c r="P294">
        <f>sales_data_1[[#This Row],[Unit - cost]]*sales_data_1[[#This Row],[Quantity_Sold]]</f>
        <v>2839.1999999999989</v>
      </c>
    </row>
    <row r="295" spans="1:16" x14ac:dyDescent="0.3">
      <c r="A295">
        <v>1069</v>
      </c>
      <c r="B295" s="1">
        <v>44958</v>
      </c>
      <c r="C295" t="s">
        <v>37</v>
      </c>
      <c r="D295" t="s">
        <v>14</v>
      </c>
      <c r="E295">
        <v>18</v>
      </c>
      <c r="F295" t="s">
        <v>15</v>
      </c>
      <c r="G295">
        <v>2760.21</v>
      </c>
      <c r="H295">
        <v>3219.58</v>
      </c>
      <c r="I295" t="s">
        <v>29</v>
      </c>
      <c r="J295">
        <v>0.27</v>
      </c>
      <c r="K295" t="s">
        <v>26</v>
      </c>
      <c r="L295" t="s">
        <v>21</v>
      </c>
      <c r="M295" t="s">
        <v>39</v>
      </c>
      <c r="N295">
        <f>sales_data_1[[#This Row],[Unit_Price]]-sales_data_1[[#This Row],[Unit_Cost]]</f>
        <v>459.36999999999989</v>
      </c>
      <c r="O295">
        <f>sales_data_1[[#This Row],[Unit_Price]]*sales_data_1[[#This Row],[Quantity_Sold]]</f>
        <v>57952.44</v>
      </c>
      <c r="P295">
        <f>sales_data_1[[#This Row],[Unit - cost]]*sales_data_1[[#This Row],[Quantity_Sold]]</f>
        <v>8268.659999999998</v>
      </c>
    </row>
    <row r="296" spans="1:16" x14ac:dyDescent="0.3">
      <c r="A296">
        <v>1037</v>
      </c>
      <c r="B296" s="1">
        <v>45084</v>
      </c>
      <c r="C296" t="s">
        <v>41</v>
      </c>
      <c r="D296" t="s">
        <v>24</v>
      </c>
      <c r="E296">
        <v>4</v>
      </c>
      <c r="F296" t="s">
        <v>25</v>
      </c>
      <c r="G296">
        <v>4721.7</v>
      </c>
      <c r="H296">
        <v>5017.58</v>
      </c>
      <c r="I296" t="s">
        <v>29</v>
      </c>
      <c r="J296">
        <v>0.24</v>
      </c>
      <c r="K296" t="s">
        <v>17</v>
      </c>
      <c r="L296" t="s">
        <v>21</v>
      </c>
      <c r="M296" t="s">
        <v>42</v>
      </c>
      <c r="N296">
        <f>sales_data_1[[#This Row],[Unit_Price]]-sales_data_1[[#This Row],[Unit_Cost]]</f>
        <v>295.88000000000011</v>
      </c>
      <c r="O296">
        <f>sales_data_1[[#This Row],[Unit_Price]]*sales_data_1[[#This Row],[Quantity_Sold]]</f>
        <v>20070.32</v>
      </c>
      <c r="P296">
        <f>sales_data_1[[#This Row],[Unit - cost]]*sales_data_1[[#This Row],[Quantity_Sold]]</f>
        <v>1183.5200000000004</v>
      </c>
    </row>
    <row r="297" spans="1:16" x14ac:dyDescent="0.3">
      <c r="A297">
        <v>1032</v>
      </c>
      <c r="B297" s="1">
        <v>45211</v>
      </c>
      <c r="C297" t="s">
        <v>41</v>
      </c>
      <c r="D297" t="s">
        <v>14</v>
      </c>
      <c r="E297">
        <v>17</v>
      </c>
      <c r="F297" t="s">
        <v>28</v>
      </c>
      <c r="G297">
        <v>1291.9100000000001</v>
      </c>
      <c r="H297">
        <v>1528.5900000000001</v>
      </c>
      <c r="I297" t="s">
        <v>16</v>
      </c>
      <c r="J297">
        <v>0.11</v>
      </c>
      <c r="K297" t="s">
        <v>30</v>
      </c>
      <c r="L297" t="s">
        <v>21</v>
      </c>
      <c r="M297" t="s">
        <v>48</v>
      </c>
      <c r="N297">
        <f>sales_data_1[[#This Row],[Unit_Price]]-sales_data_1[[#This Row],[Unit_Cost]]</f>
        <v>236.68000000000006</v>
      </c>
      <c r="O297">
        <f>sales_data_1[[#This Row],[Unit_Price]]*sales_data_1[[#This Row],[Quantity_Sold]]</f>
        <v>25986.030000000002</v>
      </c>
      <c r="P297">
        <f>sales_data_1[[#This Row],[Unit - cost]]*sales_data_1[[#This Row],[Quantity_Sold]]</f>
        <v>4023.5600000000013</v>
      </c>
    </row>
    <row r="298" spans="1:16" x14ac:dyDescent="0.3">
      <c r="A298">
        <v>1009</v>
      </c>
      <c r="B298" s="1">
        <v>45231</v>
      </c>
      <c r="C298" t="s">
        <v>13</v>
      </c>
      <c r="D298" t="s">
        <v>24</v>
      </c>
      <c r="E298">
        <v>14</v>
      </c>
      <c r="F298" t="s">
        <v>25</v>
      </c>
      <c r="G298">
        <v>547.79</v>
      </c>
      <c r="H298">
        <v>958.76</v>
      </c>
      <c r="I298" t="s">
        <v>16</v>
      </c>
      <c r="J298">
        <v>7.0000000000000007E-2</v>
      </c>
      <c r="K298" t="s">
        <v>30</v>
      </c>
      <c r="L298" t="s">
        <v>21</v>
      </c>
      <c r="M298" t="s">
        <v>31</v>
      </c>
      <c r="N298">
        <f>sales_data_1[[#This Row],[Unit_Price]]-sales_data_1[[#This Row],[Unit_Cost]]</f>
        <v>410.97</v>
      </c>
      <c r="O298">
        <f>sales_data_1[[#This Row],[Unit_Price]]*sales_data_1[[#This Row],[Quantity_Sold]]</f>
        <v>13422.64</v>
      </c>
      <c r="P298">
        <f>sales_data_1[[#This Row],[Unit - cost]]*sales_data_1[[#This Row],[Quantity_Sold]]</f>
        <v>5753.58</v>
      </c>
    </row>
    <row r="299" spans="1:16" x14ac:dyDescent="0.3">
      <c r="A299">
        <v>1099</v>
      </c>
      <c r="B299" s="1">
        <v>45212</v>
      </c>
      <c r="C299" t="s">
        <v>32</v>
      </c>
      <c r="D299" t="s">
        <v>14</v>
      </c>
      <c r="E299">
        <v>14</v>
      </c>
      <c r="F299" t="s">
        <v>25</v>
      </c>
      <c r="G299">
        <v>1996.64</v>
      </c>
      <c r="H299">
        <v>2341.4700000000003</v>
      </c>
      <c r="I299" t="s">
        <v>16</v>
      </c>
      <c r="J299">
        <v>0.22</v>
      </c>
      <c r="K299" t="s">
        <v>30</v>
      </c>
      <c r="L299" t="s">
        <v>18</v>
      </c>
      <c r="M299" t="s">
        <v>52</v>
      </c>
      <c r="N299">
        <f>sales_data_1[[#This Row],[Unit_Price]]-sales_data_1[[#This Row],[Unit_Cost]]</f>
        <v>344.83000000000015</v>
      </c>
      <c r="O299">
        <f>sales_data_1[[#This Row],[Unit_Price]]*sales_data_1[[#This Row],[Quantity_Sold]]</f>
        <v>32780.58</v>
      </c>
      <c r="P299">
        <f>sales_data_1[[#This Row],[Unit - cost]]*sales_data_1[[#This Row],[Quantity_Sold]]</f>
        <v>4827.6200000000026</v>
      </c>
    </row>
    <row r="300" spans="1:16" x14ac:dyDescent="0.3">
      <c r="A300">
        <v>1019</v>
      </c>
      <c r="B300" s="1">
        <v>45070</v>
      </c>
      <c r="C300" t="s">
        <v>37</v>
      </c>
      <c r="D300" t="s">
        <v>24</v>
      </c>
      <c r="E300">
        <v>13</v>
      </c>
      <c r="F300" t="s">
        <v>25</v>
      </c>
      <c r="G300">
        <v>3102.73</v>
      </c>
      <c r="H300">
        <v>3202.68</v>
      </c>
      <c r="I300" t="s">
        <v>29</v>
      </c>
      <c r="J300">
        <v>0.09</v>
      </c>
      <c r="K300" t="s">
        <v>17</v>
      </c>
      <c r="L300" t="s">
        <v>18</v>
      </c>
      <c r="M300" t="s">
        <v>38</v>
      </c>
      <c r="N300">
        <f>sales_data_1[[#This Row],[Unit_Price]]-sales_data_1[[#This Row],[Unit_Cost]]</f>
        <v>99.949999999999818</v>
      </c>
      <c r="O300">
        <f>sales_data_1[[#This Row],[Unit_Price]]*sales_data_1[[#This Row],[Quantity_Sold]]</f>
        <v>41634.839999999997</v>
      </c>
      <c r="P300">
        <f>sales_data_1[[#This Row],[Unit - cost]]*sales_data_1[[#This Row],[Quantity_Sold]]</f>
        <v>1299.3499999999976</v>
      </c>
    </row>
    <row r="301" spans="1:16" x14ac:dyDescent="0.3">
      <c r="A301">
        <v>1048</v>
      </c>
      <c r="B301" s="1">
        <v>44945</v>
      </c>
      <c r="C301" t="s">
        <v>13</v>
      </c>
      <c r="D301" t="s">
        <v>20</v>
      </c>
      <c r="E301">
        <v>7</v>
      </c>
      <c r="F301" t="s">
        <v>28</v>
      </c>
      <c r="G301">
        <v>4310.95</v>
      </c>
      <c r="H301">
        <v>4723.2</v>
      </c>
      <c r="I301" t="s">
        <v>16</v>
      </c>
      <c r="J301">
        <v>0.05</v>
      </c>
      <c r="K301" t="s">
        <v>30</v>
      </c>
      <c r="L301" t="s">
        <v>21</v>
      </c>
      <c r="M301" t="s">
        <v>22</v>
      </c>
      <c r="N301">
        <f>sales_data_1[[#This Row],[Unit_Price]]-sales_data_1[[#This Row],[Unit_Cost]]</f>
        <v>412.25</v>
      </c>
      <c r="O301">
        <f>sales_data_1[[#This Row],[Unit_Price]]*sales_data_1[[#This Row],[Quantity_Sold]]</f>
        <v>33062.400000000001</v>
      </c>
      <c r="P301">
        <f>sales_data_1[[#This Row],[Unit - cost]]*sales_data_1[[#This Row],[Quantity_Sold]]</f>
        <v>2885.75</v>
      </c>
    </row>
    <row r="302" spans="1:16" x14ac:dyDescent="0.3">
      <c r="A302">
        <v>1080</v>
      </c>
      <c r="B302" s="1">
        <v>44944</v>
      </c>
      <c r="C302" t="s">
        <v>32</v>
      </c>
      <c r="D302" t="s">
        <v>33</v>
      </c>
      <c r="E302">
        <v>44</v>
      </c>
      <c r="F302" t="s">
        <v>34</v>
      </c>
      <c r="G302">
        <v>1763.67</v>
      </c>
      <c r="H302">
        <v>1983.8200000000002</v>
      </c>
      <c r="I302" t="s">
        <v>29</v>
      </c>
      <c r="J302">
        <v>0.24</v>
      </c>
      <c r="K302" t="s">
        <v>30</v>
      </c>
      <c r="L302" t="s">
        <v>18</v>
      </c>
      <c r="M302" t="s">
        <v>35</v>
      </c>
      <c r="N302">
        <f>sales_data_1[[#This Row],[Unit_Price]]-sales_data_1[[#This Row],[Unit_Cost]]</f>
        <v>220.15000000000009</v>
      </c>
      <c r="O302">
        <f>sales_data_1[[#This Row],[Unit_Price]]*sales_data_1[[#This Row],[Quantity_Sold]]</f>
        <v>87288.08</v>
      </c>
      <c r="P302">
        <f>sales_data_1[[#This Row],[Unit - cost]]*sales_data_1[[#This Row],[Quantity_Sold]]</f>
        <v>9686.600000000004</v>
      </c>
    </row>
    <row r="303" spans="1:16" x14ac:dyDescent="0.3">
      <c r="A303">
        <v>1003</v>
      </c>
      <c r="B303" s="1">
        <v>45183</v>
      </c>
      <c r="C303" t="s">
        <v>13</v>
      </c>
      <c r="D303" t="s">
        <v>20</v>
      </c>
      <c r="E303">
        <v>15</v>
      </c>
      <c r="F303" t="s">
        <v>28</v>
      </c>
      <c r="G303">
        <v>3286.24</v>
      </c>
      <c r="H303">
        <v>3388.8399999999997</v>
      </c>
      <c r="I303" t="s">
        <v>16</v>
      </c>
      <c r="J303">
        <v>0.09</v>
      </c>
      <c r="K303" t="s">
        <v>30</v>
      </c>
      <c r="L303" t="s">
        <v>21</v>
      </c>
      <c r="M303" t="s">
        <v>22</v>
      </c>
      <c r="N303">
        <f>sales_data_1[[#This Row],[Unit_Price]]-sales_data_1[[#This Row],[Unit_Cost]]</f>
        <v>102.59999999999991</v>
      </c>
      <c r="O303">
        <f>sales_data_1[[#This Row],[Unit_Price]]*sales_data_1[[#This Row],[Quantity_Sold]]</f>
        <v>50832.6</v>
      </c>
      <c r="P303">
        <f>sales_data_1[[#This Row],[Unit - cost]]*sales_data_1[[#This Row],[Quantity_Sold]]</f>
        <v>1538.9999999999986</v>
      </c>
    </row>
    <row r="304" spans="1:16" x14ac:dyDescent="0.3">
      <c r="A304">
        <v>1020</v>
      </c>
      <c r="B304" s="1">
        <v>45004</v>
      </c>
      <c r="C304" t="s">
        <v>37</v>
      </c>
      <c r="D304" t="s">
        <v>20</v>
      </c>
      <c r="E304">
        <v>19</v>
      </c>
      <c r="F304" t="s">
        <v>25</v>
      </c>
      <c r="G304">
        <v>1783.48</v>
      </c>
      <c r="H304">
        <v>1931.56</v>
      </c>
      <c r="I304" t="s">
        <v>16</v>
      </c>
      <c r="J304">
        <v>0.27</v>
      </c>
      <c r="K304" t="s">
        <v>26</v>
      </c>
      <c r="L304" t="s">
        <v>21</v>
      </c>
      <c r="M304" t="s">
        <v>40</v>
      </c>
      <c r="N304">
        <f>sales_data_1[[#This Row],[Unit_Price]]-sales_data_1[[#This Row],[Unit_Cost]]</f>
        <v>148.07999999999993</v>
      </c>
      <c r="O304">
        <f>sales_data_1[[#This Row],[Unit_Price]]*sales_data_1[[#This Row],[Quantity_Sold]]</f>
        <v>36699.64</v>
      </c>
      <c r="P304">
        <f>sales_data_1[[#This Row],[Unit - cost]]*sales_data_1[[#This Row],[Quantity_Sold]]</f>
        <v>2813.5199999999986</v>
      </c>
    </row>
    <row r="305" spans="1:16" x14ac:dyDescent="0.3">
      <c r="A305">
        <v>1024</v>
      </c>
      <c r="B305" s="1">
        <v>45101</v>
      </c>
      <c r="C305" t="s">
        <v>41</v>
      </c>
      <c r="D305" t="s">
        <v>14</v>
      </c>
      <c r="E305">
        <v>43</v>
      </c>
      <c r="F305" t="s">
        <v>28</v>
      </c>
      <c r="G305">
        <v>3105.24</v>
      </c>
      <c r="H305">
        <v>3246.33</v>
      </c>
      <c r="I305" t="s">
        <v>29</v>
      </c>
      <c r="J305">
        <v>0.25</v>
      </c>
      <c r="K305" t="s">
        <v>17</v>
      </c>
      <c r="L305" t="s">
        <v>18</v>
      </c>
      <c r="M305" t="s">
        <v>48</v>
      </c>
      <c r="N305">
        <f>sales_data_1[[#This Row],[Unit_Price]]-sales_data_1[[#This Row],[Unit_Cost]]</f>
        <v>141.09000000000015</v>
      </c>
      <c r="O305">
        <f>sales_data_1[[#This Row],[Unit_Price]]*sales_data_1[[#This Row],[Quantity_Sold]]</f>
        <v>139592.19</v>
      </c>
      <c r="P305">
        <f>sales_data_1[[#This Row],[Unit - cost]]*sales_data_1[[#This Row],[Quantity_Sold]]</f>
        <v>6066.8700000000063</v>
      </c>
    </row>
    <row r="306" spans="1:16" x14ac:dyDescent="0.3">
      <c r="A306">
        <v>1054</v>
      </c>
      <c r="B306" s="1">
        <v>45120</v>
      </c>
      <c r="C306" t="s">
        <v>41</v>
      </c>
      <c r="D306" t="s">
        <v>24</v>
      </c>
      <c r="E306">
        <v>47</v>
      </c>
      <c r="F306" t="s">
        <v>25</v>
      </c>
      <c r="G306">
        <v>4429.8</v>
      </c>
      <c r="H306">
        <v>4694.21</v>
      </c>
      <c r="I306" t="s">
        <v>29</v>
      </c>
      <c r="J306">
        <v>0.25</v>
      </c>
      <c r="K306" t="s">
        <v>26</v>
      </c>
      <c r="L306" t="s">
        <v>18</v>
      </c>
      <c r="M306" t="s">
        <v>42</v>
      </c>
      <c r="N306">
        <f>sales_data_1[[#This Row],[Unit_Price]]-sales_data_1[[#This Row],[Unit_Cost]]</f>
        <v>264.40999999999985</v>
      </c>
      <c r="O306">
        <f>sales_data_1[[#This Row],[Unit_Price]]*sales_data_1[[#This Row],[Quantity_Sold]]</f>
        <v>220627.87</v>
      </c>
      <c r="P306">
        <f>sales_data_1[[#This Row],[Unit - cost]]*sales_data_1[[#This Row],[Quantity_Sold]]</f>
        <v>12427.269999999993</v>
      </c>
    </row>
    <row r="307" spans="1:16" x14ac:dyDescent="0.3">
      <c r="A307">
        <v>1033</v>
      </c>
      <c r="B307" s="1">
        <v>45039</v>
      </c>
      <c r="C307" t="s">
        <v>32</v>
      </c>
      <c r="D307" t="s">
        <v>33</v>
      </c>
      <c r="E307">
        <v>44</v>
      </c>
      <c r="F307" t="s">
        <v>34</v>
      </c>
      <c r="G307">
        <v>1195.22</v>
      </c>
      <c r="H307">
        <v>1320.06</v>
      </c>
      <c r="I307" t="s">
        <v>16</v>
      </c>
      <c r="J307">
        <v>0.23</v>
      </c>
      <c r="K307" t="s">
        <v>26</v>
      </c>
      <c r="L307" t="s">
        <v>21</v>
      </c>
      <c r="M307" t="s">
        <v>35</v>
      </c>
      <c r="N307">
        <f>sales_data_1[[#This Row],[Unit_Price]]-sales_data_1[[#This Row],[Unit_Cost]]</f>
        <v>124.83999999999992</v>
      </c>
      <c r="O307">
        <f>sales_data_1[[#This Row],[Unit_Price]]*sales_data_1[[#This Row],[Quantity_Sold]]</f>
        <v>58082.64</v>
      </c>
      <c r="P307">
        <f>sales_data_1[[#This Row],[Unit - cost]]*sales_data_1[[#This Row],[Quantity_Sold]]</f>
        <v>5492.9599999999964</v>
      </c>
    </row>
    <row r="308" spans="1:16" x14ac:dyDescent="0.3">
      <c r="A308">
        <v>1024</v>
      </c>
      <c r="B308" s="1">
        <v>45040</v>
      </c>
      <c r="C308" t="s">
        <v>23</v>
      </c>
      <c r="D308" t="s">
        <v>14</v>
      </c>
      <c r="E308">
        <v>35</v>
      </c>
      <c r="F308" t="s">
        <v>15</v>
      </c>
      <c r="G308">
        <v>2051</v>
      </c>
      <c r="H308">
        <v>2121.5500000000002</v>
      </c>
      <c r="I308" t="s">
        <v>16</v>
      </c>
      <c r="J308">
        <v>0.26</v>
      </c>
      <c r="K308" t="s">
        <v>17</v>
      </c>
      <c r="L308" t="s">
        <v>21</v>
      </c>
      <c r="M308" t="s">
        <v>44</v>
      </c>
      <c r="N308">
        <f>sales_data_1[[#This Row],[Unit_Price]]-sales_data_1[[#This Row],[Unit_Cost]]</f>
        <v>70.550000000000182</v>
      </c>
      <c r="O308">
        <f>sales_data_1[[#This Row],[Unit_Price]]*sales_data_1[[#This Row],[Quantity_Sold]]</f>
        <v>74254.25</v>
      </c>
      <c r="P308">
        <f>sales_data_1[[#This Row],[Unit - cost]]*sales_data_1[[#This Row],[Quantity_Sold]]</f>
        <v>2469.2500000000064</v>
      </c>
    </row>
    <row r="309" spans="1:16" x14ac:dyDescent="0.3">
      <c r="A309">
        <v>1075</v>
      </c>
      <c r="B309" s="1">
        <v>45148</v>
      </c>
      <c r="C309" t="s">
        <v>32</v>
      </c>
      <c r="D309" t="s">
        <v>14</v>
      </c>
      <c r="E309">
        <v>17</v>
      </c>
      <c r="F309" t="s">
        <v>34</v>
      </c>
      <c r="G309">
        <v>4966.66</v>
      </c>
      <c r="H309">
        <v>5037.2699999999995</v>
      </c>
      <c r="I309" t="s">
        <v>16</v>
      </c>
      <c r="J309">
        <v>0.24</v>
      </c>
      <c r="K309" t="s">
        <v>26</v>
      </c>
      <c r="L309" t="s">
        <v>21</v>
      </c>
      <c r="M309" t="s">
        <v>52</v>
      </c>
      <c r="N309">
        <f>sales_data_1[[#This Row],[Unit_Price]]-sales_data_1[[#This Row],[Unit_Cost]]</f>
        <v>70.609999999999673</v>
      </c>
      <c r="O309">
        <f>sales_data_1[[#This Row],[Unit_Price]]*sales_data_1[[#This Row],[Quantity_Sold]]</f>
        <v>85633.59</v>
      </c>
      <c r="P309">
        <f>sales_data_1[[#This Row],[Unit - cost]]*sales_data_1[[#This Row],[Quantity_Sold]]</f>
        <v>1200.3699999999944</v>
      </c>
    </row>
    <row r="310" spans="1:16" x14ac:dyDescent="0.3">
      <c r="A310">
        <v>1072</v>
      </c>
      <c r="B310" s="1">
        <v>45092</v>
      </c>
      <c r="C310" t="s">
        <v>23</v>
      </c>
      <c r="D310" t="s">
        <v>14</v>
      </c>
      <c r="E310">
        <v>35</v>
      </c>
      <c r="F310" t="s">
        <v>34</v>
      </c>
      <c r="G310">
        <v>4349.3599999999997</v>
      </c>
      <c r="H310">
        <v>4645.17</v>
      </c>
      <c r="I310" t="s">
        <v>16</v>
      </c>
      <c r="J310">
        <v>0.18</v>
      </c>
      <c r="K310" t="s">
        <v>30</v>
      </c>
      <c r="L310" t="s">
        <v>21</v>
      </c>
      <c r="M310" t="s">
        <v>44</v>
      </c>
      <c r="N310">
        <f>sales_data_1[[#This Row],[Unit_Price]]-sales_data_1[[#This Row],[Unit_Cost]]</f>
        <v>295.8100000000004</v>
      </c>
      <c r="O310">
        <f>sales_data_1[[#This Row],[Unit_Price]]*sales_data_1[[#This Row],[Quantity_Sold]]</f>
        <v>162580.95000000001</v>
      </c>
      <c r="P310">
        <f>sales_data_1[[#This Row],[Unit - cost]]*sales_data_1[[#This Row],[Quantity_Sold]]</f>
        <v>10353.350000000013</v>
      </c>
    </row>
    <row r="311" spans="1:16" x14ac:dyDescent="0.3">
      <c r="A311">
        <v>1036</v>
      </c>
      <c r="B311" s="1">
        <v>45245</v>
      </c>
      <c r="C311" t="s">
        <v>13</v>
      </c>
      <c r="D311" t="s">
        <v>20</v>
      </c>
      <c r="E311">
        <v>19</v>
      </c>
      <c r="F311" t="s">
        <v>15</v>
      </c>
      <c r="G311">
        <v>2844.97</v>
      </c>
      <c r="H311">
        <v>3215</v>
      </c>
      <c r="I311" t="s">
        <v>16</v>
      </c>
      <c r="J311">
        <v>0.09</v>
      </c>
      <c r="K311" t="s">
        <v>30</v>
      </c>
      <c r="L311" t="s">
        <v>21</v>
      </c>
      <c r="M311" t="s">
        <v>22</v>
      </c>
      <c r="N311">
        <f>sales_data_1[[#This Row],[Unit_Price]]-sales_data_1[[#This Row],[Unit_Cost]]</f>
        <v>370.0300000000002</v>
      </c>
      <c r="O311">
        <f>sales_data_1[[#This Row],[Unit_Price]]*sales_data_1[[#This Row],[Quantity_Sold]]</f>
        <v>61085</v>
      </c>
      <c r="P311">
        <f>sales_data_1[[#This Row],[Unit - cost]]*sales_data_1[[#This Row],[Quantity_Sold]]</f>
        <v>7030.5700000000033</v>
      </c>
    </row>
    <row r="312" spans="1:16" x14ac:dyDescent="0.3">
      <c r="A312">
        <v>1038</v>
      </c>
      <c r="B312" s="1">
        <v>45058</v>
      </c>
      <c r="C312" t="s">
        <v>13</v>
      </c>
      <c r="D312" t="s">
        <v>24</v>
      </c>
      <c r="E312">
        <v>20</v>
      </c>
      <c r="F312" t="s">
        <v>28</v>
      </c>
      <c r="G312">
        <v>2607.31</v>
      </c>
      <c r="H312">
        <v>2774.86</v>
      </c>
      <c r="I312" t="s">
        <v>29</v>
      </c>
      <c r="J312">
        <v>0.27</v>
      </c>
      <c r="K312" t="s">
        <v>30</v>
      </c>
      <c r="L312" t="s">
        <v>21</v>
      </c>
      <c r="M312" t="s">
        <v>31</v>
      </c>
      <c r="N312">
        <f>sales_data_1[[#This Row],[Unit_Price]]-sales_data_1[[#This Row],[Unit_Cost]]</f>
        <v>167.55000000000018</v>
      </c>
      <c r="O312">
        <f>sales_data_1[[#This Row],[Unit_Price]]*sales_data_1[[#This Row],[Quantity_Sold]]</f>
        <v>55497.200000000004</v>
      </c>
      <c r="P312">
        <f>sales_data_1[[#This Row],[Unit - cost]]*sales_data_1[[#This Row],[Quantity_Sold]]</f>
        <v>3351.0000000000036</v>
      </c>
    </row>
    <row r="313" spans="1:16" x14ac:dyDescent="0.3">
      <c r="A313">
        <v>1084</v>
      </c>
      <c r="B313" s="1">
        <v>45190</v>
      </c>
      <c r="C313" t="s">
        <v>37</v>
      </c>
      <c r="D313" t="s">
        <v>24</v>
      </c>
      <c r="E313">
        <v>36</v>
      </c>
      <c r="F313" t="s">
        <v>15</v>
      </c>
      <c r="G313">
        <v>1458.77</v>
      </c>
      <c r="H313">
        <v>1485.75</v>
      </c>
      <c r="I313" t="s">
        <v>29</v>
      </c>
      <c r="J313">
        <v>0.25</v>
      </c>
      <c r="K313" t="s">
        <v>30</v>
      </c>
      <c r="L313" t="s">
        <v>18</v>
      </c>
      <c r="M313" t="s">
        <v>38</v>
      </c>
      <c r="N313">
        <f>sales_data_1[[#This Row],[Unit_Price]]-sales_data_1[[#This Row],[Unit_Cost]]</f>
        <v>26.980000000000018</v>
      </c>
      <c r="O313">
        <f>sales_data_1[[#This Row],[Unit_Price]]*sales_data_1[[#This Row],[Quantity_Sold]]</f>
        <v>53487</v>
      </c>
      <c r="P313">
        <f>sales_data_1[[#This Row],[Unit - cost]]*sales_data_1[[#This Row],[Quantity_Sold]]</f>
        <v>971.28000000000065</v>
      </c>
    </row>
    <row r="314" spans="1:16" x14ac:dyDescent="0.3">
      <c r="A314">
        <v>1099</v>
      </c>
      <c r="B314" s="1">
        <v>44981</v>
      </c>
      <c r="C314" t="s">
        <v>23</v>
      </c>
      <c r="D314" t="s">
        <v>33</v>
      </c>
      <c r="E314">
        <v>35</v>
      </c>
      <c r="F314" t="s">
        <v>28</v>
      </c>
      <c r="G314">
        <v>2610.19</v>
      </c>
      <c r="H314">
        <v>2682.53</v>
      </c>
      <c r="I314" t="s">
        <v>29</v>
      </c>
      <c r="J314">
        <v>0.14000000000000001</v>
      </c>
      <c r="K314" t="s">
        <v>17</v>
      </c>
      <c r="L314" t="s">
        <v>21</v>
      </c>
      <c r="M314" t="s">
        <v>49</v>
      </c>
      <c r="N314">
        <f>sales_data_1[[#This Row],[Unit_Price]]-sales_data_1[[#This Row],[Unit_Cost]]</f>
        <v>72.340000000000146</v>
      </c>
      <c r="O314">
        <f>sales_data_1[[#This Row],[Unit_Price]]*sales_data_1[[#This Row],[Quantity_Sold]]</f>
        <v>93888.55</v>
      </c>
      <c r="P314">
        <f>sales_data_1[[#This Row],[Unit - cost]]*sales_data_1[[#This Row],[Quantity_Sold]]</f>
        <v>2531.9000000000051</v>
      </c>
    </row>
    <row r="315" spans="1:16" x14ac:dyDescent="0.3">
      <c r="A315">
        <v>1089</v>
      </c>
      <c r="B315" s="1">
        <v>45285</v>
      </c>
      <c r="C315" t="s">
        <v>37</v>
      </c>
      <c r="D315" t="s">
        <v>24</v>
      </c>
      <c r="E315">
        <v>32</v>
      </c>
      <c r="F315" t="s">
        <v>28</v>
      </c>
      <c r="G315">
        <v>4248.5</v>
      </c>
      <c r="H315">
        <v>4706.7</v>
      </c>
      <c r="I315" t="s">
        <v>29</v>
      </c>
      <c r="J315">
        <v>0.01</v>
      </c>
      <c r="K315" t="s">
        <v>26</v>
      </c>
      <c r="L315" t="s">
        <v>21</v>
      </c>
      <c r="M315" t="s">
        <v>38</v>
      </c>
      <c r="N315">
        <f>sales_data_1[[#This Row],[Unit_Price]]-sales_data_1[[#This Row],[Unit_Cost]]</f>
        <v>458.19999999999982</v>
      </c>
      <c r="O315">
        <f>sales_data_1[[#This Row],[Unit_Price]]*sales_data_1[[#This Row],[Quantity_Sold]]</f>
        <v>150614.39999999999</v>
      </c>
      <c r="P315">
        <f>sales_data_1[[#This Row],[Unit - cost]]*sales_data_1[[#This Row],[Quantity_Sold]]</f>
        <v>14662.399999999994</v>
      </c>
    </row>
    <row r="316" spans="1:16" x14ac:dyDescent="0.3">
      <c r="A316">
        <v>1099</v>
      </c>
      <c r="B316" s="1">
        <v>45057</v>
      </c>
      <c r="C316" t="s">
        <v>41</v>
      </c>
      <c r="D316" t="s">
        <v>24</v>
      </c>
      <c r="E316">
        <v>48</v>
      </c>
      <c r="F316" t="s">
        <v>25</v>
      </c>
      <c r="G316">
        <v>3441.61</v>
      </c>
      <c r="H316">
        <v>3693.4500000000003</v>
      </c>
      <c r="I316" t="s">
        <v>16</v>
      </c>
      <c r="J316">
        <v>0.19</v>
      </c>
      <c r="K316" t="s">
        <v>26</v>
      </c>
      <c r="L316" t="s">
        <v>18</v>
      </c>
      <c r="M316" t="s">
        <v>42</v>
      </c>
      <c r="N316">
        <f>sales_data_1[[#This Row],[Unit_Price]]-sales_data_1[[#This Row],[Unit_Cost]]</f>
        <v>251.84000000000015</v>
      </c>
      <c r="O316">
        <f>sales_data_1[[#This Row],[Unit_Price]]*sales_data_1[[#This Row],[Quantity_Sold]]</f>
        <v>177285.6</v>
      </c>
      <c r="P316">
        <f>sales_data_1[[#This Row],[Unit - cost]]*sales_data_1[[#This Row],[Quantity_Sold]]</f>
        <v>12088.320000000007</v>
      </c>
    </row>
    <row r="317" spans="1:16" x14ac:dyDescent="0.3">
      <c r="A317">
        <v>1025</v>
      </c>
      <c r="B317" s="1">
        <v>45214</v>
      </c>
      <c r="C317" t="s">
        <v>23</v>
      </c>
      <c r="D317" t="s">
        <v>14</v>
      </c>
      <c r="E317">
        <v>44</v>
      </c>
      <c r="F317" t="s">
        <v>25</v>
      </c>
      <c r="G317">
        <v>1485.72</v>
      </c>
      <c r="H317">
        <v>1717.97</v>
      </c>
      <c r="I317" t="s">
        <v>29</v>
      </c>
      <c r="J317">
        <v>0.02</v>
      </c>
      <c r="K317" t="s">
        <v>30</v>
      </c>
      <c r="L317" t="s">
        <v>21</v>
      </c>
      <c r="M317" t="s">
        <v>44</v>
      </c>
      <c r="N317">
        <f>sales_data_1[[#This Row],[Unit_Price]]-sales_data_1[[#This Row],[Unit_Cost]]</f>
        <v>232.25</v>
      </c>
      <c r="O317">
        <f>sales_data_1[[#This Row],[Unit_Price]]*sales_data_1[[#This Row],[Quantity_Sold]]</f>
        <v>75590.680000000008</v>
      </c>
      <c r="P317">
        <f>sales_data_1[[#This Row],[Unit - cost]]*sales_data_1[[#This Row],[Quantity_Sold]]</f>
        <v>10219</v>
      </c>
    </row>
    <row r="318" spans="1:16" x14ac:dyDescent="0.3">
      <c r="A318">
        <v>1093</v>
      </c>
      <c r="B318" s="1">
        <v>45192</v>
      </c>
      <c r="C318" t="s">
        <v>32</v>
      </c>
      <c r="D318" t="s">
        <v>14</v>
      </c>
      <c r="E318">
        <v>40</v>
      </c>
      <c r="F318" t="s">
        <v>15</v>
      </c>
      <c r="G318">
        <v>1047.25</v>
      </c>
      <c r="H318">
        <v>1075.8900000000001</v>
      </c>
      <c r="I318" t="s">
        <v>29</v>
      </c>
      <c r="J318">
        <v>0.28000000000000003</v>
      </c>
      <c r="K318" t="s">
        <v>30</v>
      </c>
      <c r="L318" t="s">
        <v>21</v>
      </c>
      <c r="M318" t="s">
        <v>52</v>
      </c>
      <c r="N318">
        <f>sales_data_1[[#This Row],[Unit_Price]]-sales_data_1[[#This Row],[Unit_Cost]]</f>
        <v>28.6400000000001</v>
      </c>
      <c r="O318">
        <f>sales_data_1[[#This Row],[Unit_Price]]*sales_data_1[[#This Row],[Quantity_Sold]]</f>
        <v>43035.600000000006</v>
      </c>
      <c r="P318">
        <f>sales_data_1[[#This Row],[Unit - cost]]*sales_data_1[[#This Row],[Quantity_Sold]]</f>
        <v>1145.600000000004</v>
      </c>
    </row>
    <row r="319" spans="1:16" x14ac:dyDescent="0.3">
      <c r="A319">
        <v>1082</v>
      </c>
      <c r="B319" s="1">
        <v>45088</v>
      </c>
      <c r="C319" t="s">
        <v>41</v>
      </c>
      <c r="D319" t="s">
        <v>14</v>
      </c>
      <c r="E319">
        <v>17</v>
      </c>
      <c r="F319" t="s">
        <v>15</v>
      </c>
      <c r="G319">
        <v>890.31</v>
      </c>
      <c r="H319">
        <v>1159.06</v>
      </c>
      <c r="I319" t="s">
        <v>16</v>
      </c>
      <c r="J319">
        <v>0.06</v>
      </c>
      <c r="K319" t="s">
        <v>17</v>
      </c>
      <c r="L319" t="s">
        <v>21</v>
      </c>
      <c r="M319" t="s">
        <v>48</v>
      </c>
      <c r="N319">
        <f>sales_data_1[[#This Row],[Unit_Price]]-sales_data_1[[#This Row],[Unit_Cost]]</f>
        <v>268.75</v>
      </c>
      <c r="O319">
        <f>sales_data_1[[#This Row],[Unit_Price]]*sales_data_1[[#This Row],[Quantity_Sold]]</f>
        <v>19704.02</v>
      </c>
      <c r="P319">
        <f>sales_data_1[[#This Row],[Unit - cost]]*sales_data_1[[#This Row],[Quantity_Sold]]</f>
        <v>4568.75</v>
      </c>
    </row>
    <row r="320" spans="1:16" x14ac:dyDescent="0.3">
      <c r="A320">
        <v>1066</v>
      </c>
      <c r="B320" s="1">
        <v>45013</v>
      </c>
      <c r="C320" t="s">
        <v>32</v>
      </c>
      <c r="D320" t="s">
        <v>14</v>
      </c>
      <c r="E320">
        <v>7</v>
      </c>
      <c r="F320" t="s">
        <v>28</v>
      </c>
      <c r="G320">
        <v>523.41999999999996</v>
      </c>
      <c r="H320">
        <v>632.43999999999994</v>
      </c>
      <c r="I320" t="s">
        <v>29</v>
      </c>
      <c r="J320">
        <v>0.2</v>
      </c>
      <c r="K320" t="s">
        <v>26</v>
      </c>
      <c r="L320" t="s">
        <v>18</v>
      </c>
      <c r="M320" t="s">
        <v>52</v>
      </c>
      <c r="N320">
        <f>sales_data_1[[#This Row],[Unit_Price]]-sales_data_1[[#This Row],[Unit_Cost]]</f>
        <v>109.01999999999998</v>
      </c>
      <c r="O320">
        <f>sales_data_1[[#This Row],[Unit_Price]]*sales_data_1[[#This Row],[Quantity_Sold]]</f>
        <v>4427.08</v>
      </c>
      <c r="P320">
        <f>sales_data_1[[#This Row],[Unit - cost]]*sales_data_1[[#This Row],[Quantity_Sold]]</f>
        <v>763.13999999999987</v>
      </c>
    </row>
    <row r="321" spans="1:16" x14ac:dyDescent="0.3">
      <c r="A321">
        <v>1054</v>
      </c>
      <c r="B321" s="1">
        <v>44981</v>
      </c>
      <c r="C321" t="s">
        <v>41</v>
      </c>
      <c r="D321" t="s">
        <v>14</v>
      </c>
      <c r="E321">
        <v>43</v>
      </c>
      <c r="F321" t="s">
        <v>25</v>
      </c>
      <c r="G321">
        <v>2124.7199999999998</v>
      </c>
      <c r="H321">
        <v>2188.66</v>
      </c>
      <c r="I321" t="s">
        <v>16</v>
      </c>
      <c r="J321">
        <v>0.03</v>
      </c>
      <c r="K321" t="s">
        <v>30</v>
      </c>
      <c r="L321" t="s">
        <v>21</v>
      </c>
      <c r="M321" t="s">
        <v>48</v>
      </c>
      <c r="N321">
        <f>sales_data_1[[#This Row],[Unit_Price]]-sales_data_1[[#This Row],[Unit_Cost]]</f>
        <v>63.940000000000055</v>
      </c>
      <c r="O321">
        <f>sales_data_1[[#This Row],[Unit_Price]]*sales_data_1[[#This Row],[Quantity_Sold]]</f>
        <v>94112.37999999999</v>
      </c>
      <c r="P321">
        <f>sales_data_1[[#This Row],[Unit - cost]]*sales_data_1[[#This Row],[Quantity_Sold]]</f>
        <v>2749.4200000000023</v>
      </c>
    </row>
    <row r="322" spans="1:16" x14ac:dyDescent="0.3">
      <c r="A322">
        <v>1035</v>
      </c>
      <c r="B322" s="1">
        <v>45214</v>
      </c>
      <c r="C322" t="s">
        <v>23</v>
      </c>
      <c r="D322" t="s">
        <v>14</v>
      </c>
      <c r="E322">
        <v>1</v>
      </c>
      <c r="F322" t="s">
        <v>15</v>
      </c>
      <c r="G322">
        <v>610.83000000000004</v>
      </c>
      <c r="H322">
        <v>808.69</v>
      </c>
      <c r="I322" t="s">
        <v>29</v>
      </c>
      <c r="J322">
        <v>0.22</v>
      </c>
      <c r="K322" t="s">
        <v>30</v>
      </c>
      <c r="L322" t="s">
        <v>18</v>
      </c>
      <c r="M322" t="s">
        <v>44</v>
      </c>
      <c r="N322">
        <f>sales_data_1[[#This Row],[Unit_Price]]-sales_data_1[[#This Row],[Unit_Cost]]</f>
        <v>197.86</v>
      </c>
      <c r="O322">
        <f>sales_data_1[[#This Row],[Unit_Price]]*sales_data_1[[#This Row],[Quantity_Sold]]</f>
        <v>808.69</v>
      </c>
      <c r="P322">
        <f>sales_data_1[[#This Row],[Unit - cost]]*sales_data_1[[#This Row],[Quantity_Sold]]</f>
        <v>197.86</v>
      </c>
    </row>
    <row r="323" spans="1:16" x14ac:dyDescent="0.3">
      <c r="A323">
        <v>1080</v>
      </c>
      <c r="B323" s="1">
        <v>45104</v>
      </c>
      <c r="C323" t="s">
        <v>37</v>
      </c>
      <c r="D323" t="s">
        <v>20</v>
      </c>
      <c r="E323">
        <v>35</v>
      </c>
      <c r="F323" t="s">
        <v>15</v>
      </c>
      <c r="G323">
        <v>900.97</v>
      </c>
      <c r="H323">
        <v>1321.18</v>
      </c>
      <c r="I323" t="s">
        <v>16</v>
      </c>
      <c r="J323">
        <v>0.1</v>
      </c>
      <c r="K323" t="s">
        <v>17</v>
      </c>
      <c r="L323" t="s">
        <v>18</v>
      </c>
      <c r="M323" t="s">
        <v>40</v>
      </c>
      <c r="N323">
        <f>sales_data_1[[#This Row],[Unit_Price]]-sales_data_1[[#This Row],[Unit_Cost]]</f>
        <v>420.21000000000004</v>
      </c>
      <c r="O323">
        <f>sales_data_1[[#This Row],[Unit_Price]]*sales_data_1[[#This Row],[Quantity_Sold]]</f>
        <v>46241.3</v>
      </c>
      <c r="P323">
        <f>sales_data_1[[#This Row],[Unit - cost]]*sales_data_1[[#This Row],[Quantity_Sold]]</f>
        <v>14707.350000000002</v>
      </c>
    </row>
    <row r="324" spans="1:16" x14ac:dyDescent="0.3">
      <c r="A324">
        <v>1061</v>
      </c>
      <c r="B324" s="1">
        <v>45275</v>
      </c>
      <c r="C324" t="s">
        <v>41</v>
      </c>
      <c r="D324" t="s">
        <v>14</v>
      </c>
      <c r="E324">
        <v>32</v>
      </c>
      <c r="F324" t="s">
        <v>25</v>
      </c>
      <c r="G324">
        <v>2759.26</v>
      </c>
      <c r="H324">
        <v>3193.25</v>
      </c>
      <c r="I324" t="s">
        <v>29</v>
      </c>
      <c r="J324">
        <v>0.2</v>
      </c>
      <c r="K324" t="s">
        <v>26</v>
      </c>
      <c r="L324" t="s">
        <v>18</v>
      </c>
      <c r="M324" t="s">
        <v>48</v>
      </c>
      <c r="N324">
        <f>sales_data_1[[#This Row],[Unit_Price]]-sales_data_1[[#This Row],[Unit_Cost]]</f>
        <v>433.98999999999978</v>
      </c>
      <c r="O324">
        <f>sales_data_1[[#This Row],[Unit_Price]]*sales_data_1[[#This Row],[Quantity_Sold]]</f>
        <v>102184</v>
      </c>
      <c r="P324">
        <f>sales_data_1[[#This Row],[Unit - cost]]*sales_data_1[[#This Row],[Quantity_Sold]]</f>
        <v>13887.679999999993</v>
      </c>
    </row>
    <row r="325" spans="1:16" x14ac:dyDescent="0.3">
      <c r="A325">
        <v>1041</v>
      </c>
      <c r="B325" s="1">
        <v>44934</v>
      </c>
      <c r="C325" t="s">
        <v>23</v>
      </c>
      <c r="D325" t="s">
        <v>33</v>
      </c>
      <c r="E325">
        <v>36</v>
      </c>
      <c r="F325" t="s">
        <v>25</v>
      </c>
      <c r="G325">
        <v>864.77</v>
      </c>
      <c r="H325">
        <v>1170.1599999999999</v>
      </c>
      <c r="I325" t="s">
        <v>16</v>
      </c>
      <c r="J325">
        <v>0.11</v>
      </c>
      <c r="K325" t="s">
        <v>17</v>
      </c>
      <c r="L325" t="s">
        <v>21</v>
      </c>
      <c r="M325" t="s">
        <v>49</v>
      </c>
      <c r="N325">
        <f>sales_data_1[[#This Row],[Unit_Price]]-sales_data_1[[#This Row],[Unit_Cost]]</f>
        <v>305.38999999999987</v>
      </c>
      <c r="O325">
        <f>sales_data_1[[#This Row],[Unit_Price]]*sales_data_1[[#This Row],[Quantity_Sold]]</f>
        <v>42125.759999999995</v>
      </c>
      <c r="P325">
        <f>sales_data_1[[#This Row],[Unit - cost]]*sales_data_1[[#This Row],[Quantity_Sold]]</f>
        <v>10994.039999999995</v>
      </c>
    </row>
    <row r="326" spans="1:16" x14ac:dyDescent="0.3">
      <c r="A326">
        <v>1100</v>
      </c>
      <c r="B326" s="1">
        <v>45247</v>
      </c>
      <c r="C326" t="s">
        <v>13</v>
      </c>
      <c r="D326" t="s">
        <v>33</v>
      </c>
      <c r="E326">
        <v>13</v>
      </c>
      <c r="F326" t="s">
        <v>25</v>
      </c>
      <c r="G326">
        <v>366.2</v>
      </c>
      <c r="H326">
        <v>732.69</v>
      </c>
      <c r="I326" t="s">
        <v>29</v>
      </c>
      <c r="J326">
        <v>0.04</v>
      </c>
      <c r="K326" t="s">
        <v>17</v>
      </c>
      <c r="L326" t="s">
        <v>21</v>
      </c>
      <c r="M326" t="s">
        <v>45</v>
      </c>
      <c r="N326">
        <f>sales_data_1[[#This Row],[Unit_Price]]-sales_data_1[[#This Row],[Unit_Cost]]</f>
        <v>366.49000000000007</v>
      </c>
      <c r="O326">
        <f>sales_data_1[[#This Row],[Unit_Price]]*sales_data_1[[#This Row],[Quantity_Sold]]</f>
        <v>9524.9700000000012</v>
      </c>
      <c r="P326">
        <f>sales_data_1[[#This Row],[Unit - cost]]*sales_data_1[[#This Row],[Quantity_Sold]]</f>
        <v>4764.3700000000008</v>
      </c>
    </row>
    <row r="327" spans="1:16" x14ac:dyDescent="0.3">
      <c r="A327">
        <v>1033</v>
      </c>
      <c r="B327" s="1">
        <v>45239</v>
      </c>
      <c r="C327" t="s">
        <v>23</v>
      </c>
      <c r="D327" t="s">
        <v>33</v>
      </c>
      <c r="E327">
        <v>6</v>
      </c>
      <c r="F327" t="s">
        <v>28</v>
      </c>
      <c r="G327">
        <v>1621.07</v>
      </c>
      <c r="H327">
        <v>1687.5</v>
      </c>
      <c r="I327" t="s">
        <v>16</v>
      </c>
      <c r="J327">
        <v>0.12</v>
      </c>
      <c r="K327" t="s">
        <v>30</v>
      </c>
      <c r="L327" t="s">
        <v>18</v>
      </c>
      <c r="M327" t="s">
        <v>49</v>
      </c>
      <c r="N327">
        <f>sales_data_1[[#This Row],[Unit_Price]]-sales_data_1[[#This Row],[Unit_Cost]]</f>
        <v>66.430000000000064</v>
      </c>
      <c r="O327">
        <f>sales_data_1[[#This Row],[Unit_Price]]*sales_data_1[[#This Row],[Quantity_Sold]]</f>
        <v>10125</v>
      </c>
      <c r="P327">
        <f>sales_data_1[[#This Row],[Unit - cost]]*sales_data_1[[#This Row],[Quantity_Sold]]</f>
        <v>398.58000000000038</v>
      </c>
    </row>
    <row r="328" spans="1:16" x14ac:dyDescent="0.3">
      <c r="A328">
        <v>1068</v>
      </c>
      <c r="B328" s="1">
        <v>45173</v>
      </c>
      <c r="C328" t="s">
        <v>37</v>
      </c>
      <c r="D328" t="s">
        <v>33</v>
      </c>
      <c r="E328">
        <v>14</v>
      </c>
      <c r="F328" t="s">
        <v>25</v>
      </c>
      <c r="G328">
        <v>1140.58</v>
      </c>
      <c r="H328">
        <v>1438.76</v>
      </c>
      <c r="I328" t="s">
        <v>16</v>
      </c>
      <c r="J328">
        <v>0.03</v>
      </c>
      <c r="K328" t="s">
        <v>26</v>
      </c>
      <c r="L328" t="s">
        <v>18</v>
      </c>
      <c r="M328" t="s">
        <v>47</v>
      </c>
      <c r="N328">
        <f>sales_data_1[[#This Row],[Unit_Price]]-sales_data_1[[#This Row],[Unit_Cost]]</f>
        <v>298.18000000000006</v>
      </c>
      <c r="O328">
        <f>sales_data_1[[#This Row],[Unit_Price]]*sales_data_1[[#This Row],[Quantity_Sold]]</f>
        <v>20142.64</v>
      </c>
      <c r="P328">
        <f>sales_data_1[[#This Row],[Unit - cost]]*sales_data_1[[#This Row],[Quantity_Sold]]</f>
        <v>4174.5200000000004</v>
      </c>
    </row>
    <row r="329" spans="1:16" x14ac:dyDescent="0.3">
      <c r="A329">
        <v>1033</v>
      </c>
      <c r="B329" s="1">
        <v>45249</v>
      </c>
      <c r="C329" t="s">
        <v>23</v>
      </c>
      <c r="D329" t="s">
        <v>14</v>
      </c>
      <c r="E329">
        <v>37</v>
      </c>
      <c r="F329" t="s">
        <v>34</v>
      </c>
      <c r="G329">
        <v>2600.7600000000002</v>
      </c>
      <c r="H329">
        <v>2937.57</v>
      </c>
      <c r="I329" t="s">
        <v>29</v>
      </c>
      <c r="J329">
        <v>0.17</v>
      </c>
      <c r="K329" t="s">
        <v>30</v>
      </c>
      <c r="L329" t="s">
        <v>21</v>
      </c>
      <c r="M329" t="s">
        <v>44</v>
      </c>
      <c r="N329">
        <f>sales_data_1[[#This Row],[Unit_Price]]-sales_data_1[[#This Row],[Unit_Cost]]</f>
        <v>336.80999999999995</v>
      </c>
      <c r="O329">
        <f>sales_data_1[[#This Row],[Unit_Price]]*sales_data_1[[#This Row],[Quantity_Sold]]</f>
        <v>108690.09000000001</v>
      </c>
      <c r="P329">
        <f>sales_data_1[[#This Row],[Unit - cost]]*sales_data_1[[#This Row],[Quantity_Sold]]</f>
        <v>12461.969999999998</v>
      </c>
    </row>
    <row r="330" spans="1:16" x14ac:dyDescent="0.3">
      <c r="A330">
        <v>1014</v>
      </c>
      <c r="B330" s="1">
        <v>45181</v>
      </c>
      <c r="C330" t="s">
        <v>32</v>
      </c>
      <c r="D330" t="s">
        <v>33</v>
      </c>
      <c r="E330">
        <v>48</v>
      </c>
      <c r="F330" t="s">
        <v>15</v>
      </c>
      <c r="G330">
        <v>556.72</v>
      </c>
      <c r="H330">
        <v>665.07</v>
      </c>
      <c r="I330" t="s">
        <v>16</v>
      </c>
      <c r="J330">
        <v>0.01</v>
      </c>
      <c r="K330" t="s">
        <v>26</v>
      </c>
      <c r="L330" t="s">
        <v>21</v>
      </c>
      <c r="M330" t="s">
        <v>35</v>
      </c>
      <c r="N330">
        <f>sales_data_1[[#This Row],[Unit_Price]]-sales_data_1[[#This Row],[Unit_Cost]]</f>
        <v>108.35000000000002</v>
      </c>
      <c r="O330">
        <f>sales_data_1[[#This Row],[Unit_Price]]*sales_data_1[[#This Row],[Quantity_Sold]]</f>
        <v>31923.360000000001</v>
      </c>
      <c r="P330">
        <f>sales_data_1[[#This Row],[Unit - cost]]*sales_data_1[[#This Row],[Quantity_Sold]]</f>
        <v>5200.8000000000011</v>
      </c>
    </row>
    <row r="331" spans="1:16" x14ac:dyDescent="0.3">
      <c r="A331">
        <v>1021</v>
      </c>
      <c r="B331" s="1">
        <v>45254</v>
      </c>
      <c r="C331" t="s">
        <v>37</v>
      </c>
      <c r="D331" t="s">
        <v>14</v>
      </c>
      <c r="E331">
        <v>15</v>
      </c>
      <c r="F331" t="s">
        <v>25</v>
      </c>
      <c r="G331">
        <v>3771.27</v>
      </c>
      <c r="H331">
        <v>4212.55</v>
      </c>
      <c r="I331" t="s">
        <v>16</v>
      </c>
      <c r="J331">
        <v>0.16</v>
      </c>
      <c r="K331" t="s">
        <v>30</v>
      </c>
      <c r="L331" t="s">
        <v>21</v>
      </c>
      <c r="M331" t="s">
        <v>39</v>
      </c>
      <c r="N331">
        <f>sales_data_1[[#This Row],[Unit_Price]]-sales_data_1[[#This Row],[Unit_Cost]]</f>
        <v>441.2800000000002</v>
      </c>
      <c r="O331">
        <f>sales_data_1[[#This Row],[Unit_Price]]*sales_data_1[[#This Row],[Quantity_Sold]]</f>
        <v>63188.25</v>
      </c>
      <c r="P331">
        <f>sales_data_1[[#This Row],[Unit - cost]]*sales_data_1[[#This Row],[Quantity_Sold]]</f>
        <v>6619.2000000000025</v>
      </c>
    </row>
    <row r="332" spans="1:16" x14ac:dyDescent="0.3">
      <c r="A332">
        <v>1048</v>
      </c>
      <c r="B332" s="1">
        <v>44980</v>
      </c>
      <c r="C332" t="s">
        <v>13</v>
      </c>
      <c r="D332" t="s">
        <v>20</v>
      </c>
      <c r="E332">
        <v>47</v>
      </c>
      <c r="F332" t="s">
        <v>25</v>
      </c>
      <c r="G332">
        <v>4535.8599999999997</v>
      </c>
      <c r="H332">
        <v>4641.41</v>
      </c>
      <c r="I332" t="s">
        <v>29</v>
      </c>
      <c r="J332">
        <v>0.27</v>
      </c>
      <c r="K332" t="s">
        <v>30</v>
      </c>
      <c r="L332" t="s">
        <v>21</v>
      </c>
      <c r="M332" t="s">
        <v>22</v>
      </c>
      <c r="N332">
        <f>sales_data_1[[#This Row],[Unit_Price]]-sales_data_1[[#This Row],[Unit_Cost]]</f>
        <v>105.55000000000018</v>
      </c>
      <c r="O332">
        <f>sales_data_1[[#This Row],[Unit_Price]]*sales_data_1[[#This Row],[Quantity_Sold]]</f>
        <v>218146.27</v>
      </c>
      <c r="P332">
        <f>sales_data_1[[#This Row],[Unit - cost]]*sales_data_1[[#This Row],[Quantity_Sold]]</f>
        <v>4960.8500000000085</v>
      </c>
    </row>
    <row r="333" spans="1:16" x14ac:dyDescent="0.3">
      <c r="A333">
        <v>1020</v>
      </c>
      <c r="B333" s="1">
        <v>45175</v>
      </c>
      <c r="C333" t="s">
        <v>32</v>
      </c>
      <c r="D333" t="s">
        <v>33</v>
      </c>
      <c r="E333">
        <v>4</v>
      </c>
      <c r="F333" t="s">
        <v>28</v>
      </c>
      <c r="G333">
        <v>3730</v>
      </c>
      <c r="H333">
        <v>3893.6</v>
      </c>
      <c r="I333" t="s">
        <v>29</v>
      </c>
      <c r="J333">
        <v>0.25</v>
      </c>
      <c r="K333" t="s">
        <v>26</v>
      </c>
      <c r="L333" t="s">
        <v>21</v>
      </c>
      <c r="M333" t="s">
        <v>35</v>
      </c>
      <c r="N333">
        <f>sales_data_1[[#This Row],[Unit_Price]]-sales_data_1[[#This Row],[Unit_Cost]]</f>
        <v>163.59999999999991</v>
      </c>
      <c r="O333">
        <f>sales_data_1[[#This Row],[Unit_Price]]*sales_data_1[[#This Row],[Quantity_Sold]]</f>
        <v>15574.4</v>
      </c>
      <c r="P333">
        <f>sales_data_1[[#This Row],[Unit - cost]]*sales_data_1[[#This Row],[Quantity_Sold]]</f>
        <v>654.39999999999964</v>
      </c>
    </row>
    <row r="334" spans="1:16" x14ac:dyDescent="0.3">
      <c r="A334">
        <v>1008</v>
      </c>
      <c r="B334" s="1">
        <v>45165</v>
      </c>
      <c r="C334" t="s">
        <v>23</v>
      </c>
      <c r="D334" t="s">
        <v>24</v>
      </c>
      <c r="E334">
        <v>40</v>
      </c>
      <c r="F334" t="s">
        <v>28</v>
      </c>
      <c r="G334">
        <v>2687.49</v>
      </c>
      <c r="H334">
        <v>3001.56</v>
      </c>
      <c r="I334" t="s">
        <v>16</v>
      </c>
      <c r="J334">
        <v>0.26</v>
      </c>
      <c r="K334" t="s">
        <v>26</v>
      </c>
      <c r="L334" t="s">
        <v>18</v>
      </c>
      <c r="M334" t="s">
        <v>27</v>
      </c>
      <c r="N334">
        <f>sales_data_1[[#This Row],[Unit_Price]]-sales_data_1[[#This Row],[Unit_Cost]]</f>
        <v>314.07000000000016</v>
      </c>
      <c r="O334">
        <f>sales_data_1[[#This Row],[Unit_Price]]*sales_data_1[[#This Row],[Quantity_Sold]]</f>
        <v>120062.39999999999</v>
      </c>
      <c r="P334">
        <f>sales_data_1[[#This Row],[Unit - cost]]*sales_data_1[[#This Row],[Quantity_Sold]]</f>
        <v>12562.800000000007</v>
      </c>
    </row>
    <row r="335" spans="1:16" x14ac:dyDescent="0.3">
      <c r="A335">
        <v>1007</v>
      </c>
      <c r="B335" s="1">
        <v>45155</v>
      </c>
      <c r="C335" t="s">
        <v>37</v>
      </c>
      <c r="D335" t="s">
        <v>33</v>
      </c>
      <c r="E335">
        <v>16</v>
      </c>
      <c r="F335" t="s">
        <v>15</v>
      </c>
      <c r="G335">
        <v>4310.3100000000004</v>
      </c>
      <c r="H335">
        <v>4633.1000000000004</v>
      </c>
      <c r="I335" t="s">
        <v>29</v>
      </c>
      <c r="J335">
        <v>0.28000000000000003</v>
      </c>
      <c r="K335" t="s">
        <v>30</v>
      </c>
      <c r="L335" t="s">
        <v>21</v>
      </c>
      <c r="M335" t="s">
        <v>47</v>
      </c>
      <c r="N335">
        <f>sales_data_1[[#This Row],[Unit_Price]]-sales_data_1[[#This Row],[Unit_Cost]]</f>
        <v>322.78999999999996</v>
      </c>
      <c r="O335">
        <f>sales_data_1[[#This Row],[Unit_Price]]*sales_data_1[[#This Row],[Quantity_Sold]]</f>
        <v>74129.600000000006</v>
      </c>
      <c r="P335">
        <f>sales_data_1[[#This Row],[Unit - cost]]*sales_data_1[[#This Row],[Quantity_Sold]]</f>
        <v>5164.6399999999994</v>
      </c>
    </row>
    <row r="336" spans="1:16" x14ac:dyDescent="0.3">
      <c r="A336">
        <v>1067</v>
      </c>
      <c r="B336" s="1">
        <v>44993</v>
      </c>
      <c r="C336" t="s">
        <v>13</v>
      </c>
      <c r="D336" t="s">
        <v>33</v>
      </c>
      <c r="E336">
        <v>28</v>
      </c>
      <c r="F336" t="s">
        <v>34</v>
      </c>
      <c r="G336">
        <v>3489.85</v>
      </c>
      <c r="H336">
        <v>3842.5499999999997</v>
      </c>
      <c r="I336" t="s">
        <v>29</v>
      </c>
      <c r="J336">
        <v>0.03</v>
      </c>
      <c r="K336" t="s">
        <v>26</v>
      </c>
      <c r="L336" t="s">
        <v>18</v>
      </c>
      <c r="M336" t="s">
        <v>45</v>
      </c>
      <c r="N336">
        <f>sales_data_1[[#This Row],[Unit_Price]]-sales_data_1[[#This Row],[Unit_Cost]]</f>
        <v>352.69999999999982</v>
      </c>
      <c r="O336">
        <f>sales_data_1[[#This Row],[Unit_Price]]*sales_data_1[[#This Row],[Quantity_Sold]]</f>
        <v>107591.4</v>
      </c>
      <c r="P336">
        <f>sales_data_1[[#This Row],[Unit - cost]]*sales_data_1[[#This Row],[Quantity_Sold]]</f>
        <v>9875.5999999999949</v>
      </c>
    </row>
    <row r="337" spans="1:16" x14ac:dyDescent="0.3">
      <c r="A337">
        <v>1017</v>
      </c>
      <c r="B337" s="1">
        <v>44977</v>
      </c>
      <c r="C337" t="s">
        <v>32</v>
      </c>
      <c r="D337" t="s">
        <v>14</v>
      </c>
      <c r="E337">
        <v>16</v>
      </c>
      <c r="F337" t="s">
        <v>15</v>
      </c>
      <c r="G337">
        <v>102.23</v>
      </c>
      <c r="H337">
        <v>167.12</v>
      </c>
      <c r="I337" t="s">
        <v>29</v>
      </c>
      <c r="J337">
        <v>0.04</v>
      </c>
      <c r="K337" t="s">
        <v>30</v>
      </c>
      <c r="L337" t="s">
        <v>21</v>
      </c>
      <c r="M337" t="s">
        <v>52</v>
      </c>
      <c r="N337">
        <f>sales_data_1[[#This Row],[Unit_Price]]-sales_data_1[[#This Row],[Unit_Cost]]</f>
        <v>64.89</v>
      </c>
      <c r="O337">
        <f>sales_data_1[[#This Row],[Unit_Price]]*sales_data_1[[#This Row],[Quantity_Sold]]</f>
        <v>2673.92</v>
      </c>
      <c r="P337">
        <f>sales_data_1[[#This Row],[Unit - cost]]*sales_data_1[[#This Row],[Quantity_Sold]]</f>
        <v>1038.24</v>
      </c>
    </row>
    <row r="338" spans="1:16" x14ac:dyDescent="0.3">
      <c r="A338">
        <v>1033</v>
      </c>
      <c r="B338" s="1">
        <v>45023</v>
      </c>
      <c r="C338" t="s">
        <v>13</v>
      </c>
      <c r="D338" t="s">
        <v>33</v>
      </c>
      <c r="E338">
        <v>4</v>
      </c>
      <c r="F338" t="s">
        <v>25</v>
      </c>
      <c r="G338">
        <v>2000.75</v>
      </c>
      <c r="H338">
        <v>2426.9899999999998</v>
      </c>
      <c r="I338" t="s">
        <v>16</v>
      </c>
      <c r="J338">
        <v>0.17</v>
      </c>
      <c r="K338" t="s">
        <v>26</v>
      </c>
      <c r="L338" t="s">
        <v>18</v>
      </c>
      <c r="M338" t="s">
        <v>45</v>
      </c>
      <c r="N338">
        <f>sales_data_1[[#This Row],[Unit_Price]]-sales_data_1[[#This Row],[Unit_Cost]]</f>
        <v>426.23999999999978</v>
      </c>
      <c r="O338">
        <f>sales_data_1[[#This Row],[Unit_Price]]*sales_data_1[[#This Row],[Quantity_Sold]]</f>
        <v>9707.9599999999991</v>
      </c>
      <c r="P338">
        <f>sales_data_1[[#This Row],[Unit - cost]]*sales_data_1[[#This Row],[Quantity_Sold]]</f>
        <v>1704.9599999999991</v>
      </c>
    </row>
    <row r="339" spans="1:16" x14ac:dyDescent="0.3">
      <c r="A339">
        <v>1048</v>
      </c>
      <c r="B339" s="1">
        <v>45018</v>
      </c>
      <c r="C339" t="s">
        <v>23</v>
      </c>
      <c r="D339" t="s">
        <v>24</v>
      </c>
      <c r="E339">
        <v>45</v>
      </c>
      <c r="F339" t="s">
        <v>34</v>
      </c>
      <c r="G339">
        <v>4262.21</v>
      </c>
      <c r="H339">
        <v>4533.3100000000004</v>
      </c>
      <c r="I339" t="s">
        <v>16</v>
      </c>
      <c r="J339">
        <v>0.27</v>
      </c>
      <c r="K339" t="s">
        <v>30</v>
      </c>
      <c r="L339" t="s">
        <v>18</v>
      </c>
      <c r="M339" t="s">
        <v>27</v>
      </c>
      <c r="N339">
        <f>sales_data_1[[#This Row],[Unit_Price]]-sales_data_1[[#This Row],[Unit_Cost]]</f>
        <v>271.10000000000036</v>
      </c>
      <c r="O339">
        <f>sales_data_1[[#This Row],[Unit_Price]]*sales_data_1[[#This Row],[Quantity_Sold]]</f>
        <v>203998.95</v>
      </c>
      <c r="P339">
        <f>sales_data_1[[#This Row],[Unit - cost]]*sales_data_1[[#This Row],[Quantity_Sold]]</f>
        <v>12199.500000000016</v>
      </c>
    </row>
    <row r="340" spans="1:16" x14ac:dyDescent="0.3">
      <c r="A340">
        <v>1076</v>
      </c>
      <c r="B340" s="1">
        <v>45190</v>
      </c>
      <c r="C340" t="s">
        <v>13</v>
      </c>
      <c r="D340" t="s">
        <v>14</v>
      </c>
      <c r="E340">
        <v>26</v>
      </c>
      <c r="F340" t="s">
        <v>34</v>
      </c>
      <c r="G340">
        <v>1762</v>
      </c>
      <c r="H340">
        <v>2002.95</v>
      </c>
      <c r="I340" t="s">
        <v>16</v>
      </c>
      <c r="J340">
        <v>0.28999999999999998</v>
      </c>
      <c r="K340" t="s">
        <v>30</v>
      </c>
      <c r="L340" t="s">
        <v>21</v>
      </c>
      <c r="M340" t="s">
        <v>19</v>
      </c>
      <c r="N340">
        <f>sales_data_1[[#This Row],[Unit_Price]]-sales_data_1[[#This Row],[Unit_Cost]]</f>
        <v>240.95000000000005</v>
      </c>
      <c r="O340">
        <f>sales_data_1[[#This Row],[Unit_Price]]*sales_data_1[[#This Row],[Quantity_Sold]]</f>
        <v>52076.700000000004</v>
      </c>
      <c r="P340">
        <f>sales_data_1[[#This Row],[Unit - cost]]*sales_data_1[[#This Row],[Quantity_Sold]]</f>
        <v>6264.7000000000007</v>
      </c>
    </row>
    <row r="341" spans="1:16" x14ac:dyDescent="0.3">
      <c r="A341">
        <v>1059</v>
      </c>
      <c r="B341" s="1">
        <v>45217</v>
      </c>
      <c r="C341" t="s">
        <v>41</v>
      </c>
      <c r="D341" t="s">
        <v>14</v>
      </c>
      <c r="E341">
        <v>28</v>
      </c>
      <c r="F341" t="s">
        <v>34</v>
      </c>
      <c r="G341">
        <v>224.32</v>
      </c>
      <c r="H341">
        <v>715.06</v>
      </c>
      <c r="I341" t="s">
        <v>16</v>
      </c>
      <c r="J341">
        <v>0.01</v>
      </c>
      <c r="K341" t="s">
        <v>30</v>
      </c>
      <c r="L341" t="s">
        <v>18</v>
      </c>
      <c r="M341" t="s">
        <v>48</v>
      </c>
      <c r="N341">
        <f>sales_data_1[[#This Row],[Unit_Price]]-sales_data_1[[#This Row],[Unit_Cost]]</f>
        <v>490.73999999999995</v>
      </c>
      <c r="O341">
        <f>sales_data_1[[#This Row],[Unit_Price]]*sales_data_1[[#This Row],[Quantity_Sold]]</f>
        <v>20021.68</v>
      </c>
      <c r="P341">
        <f>sales_data_1[[#This Row],[Unit - cost]]*sales_data_1[[#This Row],[Quantity_Sold]]</f>
        <v>13740.72</v>
      </c>
    </row>
    <row r="342" spans="1:16" x14ac:dyDescent="0.3">
      <c r="A342">
        <v>1086</v>
      </c>
      <c r="B342" s="1">
        <v>45022</v>
      </c>
      <c r="C342" t="s">
        <v>32</v>
      </c>
      <c r="D342" t="s">
        <v>20</v>
      </c>
      <c r="E342">
        <v>32</v>
      </c>
      <c r="F342" t="s">
        <v>34</v>
      </c>
      <c r="G342">
        <v>3743.59</v>
      </c>
      <c r="H342">
        <v>4116.38</v>
      </c>
      <c r="I342" t="s">
        <v>16</v>
      </c>
      <c r="J342">
        <v>0.11</v>
      </c>
      <c r="K342" t="s">
        <v>17</v>
      </c>
      <c r="L342" t="s">
        <v>18</v>
      </c>
      <c r="M342" t="s">
        <v>36</v>
      </c>
      <c r="N342">
        <f>sales_data_1[[#This Row],[Unit_Price]]-sales_data_1[[#This Row],[Unit_Cost]]</f>
        <v>372.78999999999996</v>
      </c>
      <c r="O342">
        <f>sales_data_1[[#This Row],[Unit_Price]]*sales_data_1[[#This Row],[Quantity_Sold]]</f>
        <v>131724.16</v>
      </c>
      <c r="P342">
        <f>sales_data_1[[#This Row],[Unit - cost]]*sales_data_1[[#This Row],[Quantity_Sold]]</f>
        <v>11929.279999999999</v>
      </c>
    </row>
    <row r="343" spans="1:16" x14ac:dyDescent="0.3">
      <c r="A343">
        <v>1022</v>
      </c>
      <c r="B343" s="1">
        <v>45014</v>
      </c>
      <c r="C343" t="s">
        <v>13</v>
      </c>
      <c r="D343" t="s">
        <v>20</v>
      </c>
      <c r="E343">
        <v>45</v>
      </c>
      <c r="F343" t="s">
        <v>15</v>
      </c>
      <c r="G343">
        <v>4020.09</v>
      </c>
      <c r="H343">
        <v>4087.9100000000003</v>
      </c>
      <c r="I343" t="s">
        <v>16</v>
      </c>
      <c r="J343">
        <v>0.06</v>
      </c>
      <c r="K343" t="s">
        <v>26</v>
      </c>
      <c r="L343" t="s">
        <v>18</v>
      </c>
      <c r="M343" t="s">
        <v>22</v>
      </c>
      <c r="N343">
        <f>sales_data_1[[#This Row],[Unit_Price]]-sales_data_1[[#This Row],[Unit_Cost]]</f>
        <v>67.820000000000164</v>
      </c>
      <c r="O343">
        <f>sales_data_1[[#This Row],[Unit_Price]]*sales_data_1[[#This Row],[Quantity_Sold]]</f>
        <v>183955.95</v>
      </c>
      <c r="P343">
        <f>sales_data_1[[#This Row],[Unit - cost]]*sales_data_1[[#This Row],[Quantity_Sold]]</f>
        <v>3051.9000000000074</v>
      </c>
    </row>
    <row r="344" spans="1:16" x14ac:dyDescent="0.3">
      <c r="A344">
        <v>1030</v>
      </c>
      <c r="B344" s="1">
        <v>45004</v>
      </c>
      <c r="C344" t="s">
        <v>23</v>
      </c>
      <c r="D344" t="s">
        <v>33</v>
      </c>
      <c r="E344">
        <v>2</v>
      </c>
      <c r="F344" t="s">
        <v>28</v>
      </c>
      <c r="G344">
        <v>844.94</v>
      </c>
      <c r="H344">
        <v>1225.6400000000001</v>
      </c>
      <c r="I344" t="s">
        <v>16</v>
      </c>
      <c r="J344">
        <v>0.23</v>
      </c>
      <c r="K344" t="s">
        <v>30</v>
      </c>
      <c r="L344" t="s">
        <v>18</v>
      </c>
      <c r="M344" t="s">
        <v>49</v>
      </c>
      <c r="N344">
        <f>sales_data_1[[#This Row],[Unit_Price]]-sales_data_1[[#This Row],[Unit_Cost]]</f>
        <v>380.70000000000005</v>
      </c>
      <c r="O344">
        <f>sales_data_1[[#This Row],[Unit_Price]]*sales_data_1[[#This Row],[Quantity_Sold]]</f>
        <v>2451.2800000000002</v>
      </c>
      <c r="P344">
        <f>sales_data_1[[#This Row],[Unit - cost]]*sales_data_1[[#This Row],[Quantity_Sold]]</f>
        <v>761.40000000000009</v>
      </c>
    </row>
    <row r="345" spans="1:16" x14ac:dyDescent="0.3">
      <c r="A345">
        <v>1038</v>
      </c>
      <c r="B345" s="1">
        <v>45214</v>
      </c>
      <c r="C345" t="s">
        <v>23</v>
      </c>
      <c r="D345" t="s">
        <v>20</v>
      </c>
      <c r="E345">
        <v>31</v>
      </c>
      <c r="F345" t="s">
        <v>28</v>
      </c>
      <c r="G345">
        <v>2709.84</v>
      </c>
      <c r="H345">
        <v>2766.51</v>
      </c>
      <c r="I345" t="s">
        <v>29</v>
      </c>
      <c r="J345">
        <v>0.19</v>
      </c>
      <c r="K345" t="s">
        <v>17</v>
      </c>
      <c r="L345" t="s">
        <v>21</v>
      </c>
      <c r="M345" t="s">
        <v>46</v>
      </c>
      <c r="N345">
        <f>sales_data_1[[#This Row],[Unit_Price]]-sales_data_1[[#This Row],[Unit_Cost]]</f>
        <v>56.670000000000073</v>
      </c>
      <c r="O345">
        <f>sales_data_1[[#This Row],[Unit_Price]]*sales_data_1[[#This Row],[Quantity_Sold]]</f>
        <v>85761.810000000012</v>
      </c>
      <c r="P345">
        <f>sales_data_1[[#This Row],[Unit - cost]]*sales_data_1[[#This Row],[Quantity_Sold]]</f>
        <v>1756.7700000000023</v>
      </c>
    </row>
    <row r="346" spans="1:16" x14ac:dyDescent="0.3">
      <c r="A346">
        <v>1051</v>
      </c>
      <c r="B346" s="1">
        <v>45046</v>
      </c>
      <c r="C346" t="s">
        <v>13</v>
      </c>
      <c r="D346" t="s">
        <v>20</v>
      </c>
      <c r="E346">
        <v>3</v>
      </c>
      <c r="F346" t="s">
        <v>25</v>
      </c>
      <c r="G346">
        <v>1000.18</v>
      </c>
      <c r="H346">
        <v>1023.64</v>
      </c>
      <c r="I346" t="s">
        <v>16</v>
      </c>
      <c r="J346">
        <v>0.04</v>
      </c>
      <c r="K346" t="s">
        <v>30</v>
      </c>
      <c r="L346" t="s">
        <v>18</v>
      </c>
      <c r="M346" t="s">
        <v>22</v>
      </c>
      <c r="N346">
        <f>sales_data_1[[#This Row],[Unit_Price]]-sales_data_1[[#This Row],[Unit_Cost]]</f>
        <v>23.460000000000036</v>
      </c>
      <c r="O346">
        <f>sales_data_1[[#This Row],[Unit_Price]]*sales_data_1[[#This Row],[Quantity_Sold]]</f>
        <v>3070.92</v>
      </c>
      <c r="P346">
        <f>sales_data_1[[#This Row],[Unit - cost]]*sales_data_1[[#This Row],[Quantity_Sold]]</f>
        <v>70.380000000000109</v>
      </c>
    </row>
    <row r="347" spans="1:16" x14ac:dyDescent="0.3">
      <c r="A347">
        <v>1054</v>
      </c>
      <c r="B347" s="1">
        <v>45228</v>
      </c>
      <c r="C347" t="s">
        <v>23</v>
      </c>
      <c r="D347" t="s">
        <v>20</v>
      </c>
      <c r="E347">
        <v>8</v>
      </c>
      <c r="F347" t="s">
        <v>28</v>
      </c>
      <c r="G347">
        <v>3610.21</v>
      </c>
      <c r="H347">
        <v>3817.9900000000002</v>
      </c>
      <c r="I347" t="s">
        <v>16</v>
      </c>
      <c r="J347">
        <v>0.15</v>
      </c>
      <c r="K347" t="s">
        <v>17</v>
      </c>
      <c r="L347" t="s">
        <v>21</v>
      </c>
      <c r="M347" t="s">
        <v>46</v>
      </c>
      <c r="N347">
        <f>sales_data_1[[#This Row],[Unit_Price]]-sales_data_1[[#This Row],[Unit_Cost]]</f>
        <v>207.7800000000002</v>
      </c>
      <c r="O347">
        <f>sales_data_1[[#This Row],[Unit_Price]]*sales_data_1[[#This Row],[Quantity_Sold]]</f>
        <v>30543.920000000002</v>
      </c>
      <c r="P347">
        <f>sales_data_1[[#This Row],[Unit - cost]]*sales_data_1[[#This Row],[Quantity_Sold]]</f>
        <v>1662.2400000000016</v>
      </c>
    </row>
    <row r="348" spans="1:16" x14ac:dyDescent="0.3">
      <c r="A348">
        <v>1008</v>
      </c>
      <c r="B348" s="1">
        <v>45091</v>
      </c>
      <c r="C348" t="s">
        <v>37</v>
      </c>
      <c r="D348" t="s">
        <v>14</v>
      </c>
      <c r="E348">
        <v>24</v>
      </c>
      <c r="F348" t="s">
        <v>28</v>
      </c>
      <c r="G348">
        <v>1394.17</v>
      </c>
      <c r="H348">
        <v>1891.02</v>
      </c>
      <c r="I348" t="s">
        <v>29</v>
      </c>
      <c r="J348">
        <v>0.21</v>
      </c>
      <c r="K348" t="s">
        <v>30</v>
      </c>
      <c r="L348" t="s">
        <v>18</v>
      </c>
      <c r="M348" t="s">
        <v>39</v>
      </c>
      <c r="N348">
        <f>sales_data_1[[#This Row],[Unit_Price]]-sales_data_1[[#This Row],[Unit_Cost]]</f>
        <v>496.84999999999991</v>
      </c>
      <c r="O348">
        <f>sales_data_1[[#This Row],[Unit_Price]]*sales_data_1[[#This Row],[Quantity_Sold]]</f>
        <v>45384.479999999996</v>
      </c>
      <c r="P348">
        <f>sales_data_1[[#This Row],[Unit - cost]]*sales_data_1[[#This Row],[Quantity_Sold]]</f>
        <v>11924.399999999998</v>
      </c>
    </row>
    <row r="349" spans="1:16" x14ac:dyDescent="0.3">
      <c r="A349">
        <v>1027</v>
      </c>
      <c r="B349" s="1">
        <v>45108</v>
      </c>
      <c r="C349" t="s">
        <v>37</v>
      </c>
      <c r="D349" t="s">
        <v>14</v>
      </c>
      <c r="E349">
        <v>15</v>
      </c>
      <c r="F349" t="s">
        <v>28</v>
      </c>
      <c r="G349">
        <v>1615.26</v>
      </c>
      <c r="H349">
        <v>1710.95</v>
      </c>
      <c r="I349" t="s">
        <v>29</v>
      </c>
      <c r="J349">
        <v>0.23</v>
      </c>
      <c r="K349" t="s">
        <v>30</v>
      </c>
      <c r="L349" t="s">
        <v>21</v>
      </c>
      <c r="M349" t="s">
        <v>39</v>
      </c>
      <c r="N349">
        <f>sales_data_1[[#This Row],[Unit_Price]]-sales_data_1[[#This Row],[Unit_Cost]]</f>
        <v>95.690000000000055</v>
      </c>
      <c r="O349">
        <f>sales_data_1[[#This Row],[Unit_Price]]*sales_data_1[[#This Row],[Quantity_Sold]]</f>
        <v>25664.25</v>
      </c>
      <c r="P349">
        <f>sales_data_1[[#This Row],[Unit - cost]]*sales_data_1[[#This Row],[Quantity_Sold]]</f>
        <v>1435.3500000000008</v>
      </c>
    </row>
    <row r="350" spans="1:16" x14ac:dyDescent="0.3">
      <c r="A350">
        <v>1027</v>
      </c>
      <c r="B350" s="1">
        <v>45149</v>
      </c>
      <c r="C350" t="s">
        <v>37</v>
      </c>
      <c r="D350" t="s">
        <v>14</v>
      </c>
      <c r="E350">
        <v>43</v>
      </c>
      <c r="F350" t="s">
        <v>28</v>
      </c>
      <c r="G350">
        <v>4232.6099999999997</v>
      </c>
      <c r="H350">
        <v>4572.21</v>
      </c>
      <c r="I350" t="s">
        <v>29</v>
      </c>
      <c r="J350">
        <v>0.01</v>
      </c>
      <c r="K350" t="s">
        <v>17</v>
      </c>
      <c r="L350" t="s">
        <v>21</v>
      </c>
      <c r="M350" t="s">
        <v>39</v>
      </c>
      <c r="N350">
        <f>sales_data_1[[#This Row],[Unit_Price]]-sales_data_1[[#This Row],[Unit_Cost]]</f>
        <v>339.60000000000036</v>
      </c>
      <c r="O350">
        <f>sales_data_1[[#This Row],[Unit_Price]]*sales_data_1[[#This Row],[Quantity_Sold]]</f>
        <v>196605.03</v>
      </c>
      <c r="P350">
        <f>sales_data_1[[#This Row],[Unit - cost]]*sales_data_1[[#This Row],[Quantity_Sold]]</f>
        <v>14602.800000000016</v>
      </c>
    </row>
    <row r="351" spans="1:16" x14ac:dyDescent="0.3">
      <c r="A351">
        <v>1098</v>
      </c>
      <c r="B351" s="1">
        <v>45237</v>
      </c>
      <c r="C351" t="s">
        <v>41</v>
      </c>
      <c r="D351" t="s">
        <v>20</v>
      </c>
      <c r="E351">
        <v>31</v>
      </c>
      <c r="F351" t="s">
        <v>25</v>
      </c>
      <c r="G351">
        <v>2407.8000000000002</v>
      </c>
      <c r="H351">
        <v>2502.7600000000002</v>
      </c>
      <c r="I351" t="s">
        <v>16</v>
      </c>
      <c r="J351">
        <v>0.27</v>
      </c>
      <c r="K351" t="s">
        <v>17</v>
      </c>
      <c r="L351" t="s">
        <v>21</v>
      </c>
      <c r="M351" t="s">
        <v>50</v>
      </c>
      <c r="N351">
        <f>sales_data_1[[#This Row],[Unit_Price]]-sales_data_1[[#This Row],[Unit_Cost]]</f>
        <v>94.960000000000036</v>
      </c>
      <c r="O351">
        <f>sales_data_1[[#This Row],[Unit_Price]]*sales_data_1[[#This Row],[Quantity_Sold]]</f>
        <v>77585.560000000012</v>
      </c>
      <c r="P351">
        <f>sales_data_1[[#This Row],[Unit - cost]]*sales_data_1[[#This Row],[Quantity_Sold]]</f>
        <v>2943.7600000000011</v>
      </c>
    </row>
    <row r="352" spans="1:16" x14ac:dyDescent="0.3">
      <c r="A352">
        <v>1021</v>
      </c>
      <c r="B352" s="1">
        <v>44933</v>
      </c>
      <c r="C352" t="s">
        <v>13</v>
      </c>
      <c r="D352" t="s">
        <v>14</v>
      </c>
      <c r="E352">
        <v>9</v>
      </c>
      <c r="F352" t="s">
        <v>15</v>
      </c>
      <c r="G352">
        <v>3365.28</v>
      </c>
      <c r="H352">
        <v>3730.4300000000003</v>
      </c>
      <c r="I352" t="s">
        <v>29</v>
      </c>
      <c r="J352">
        <v>0.17</v>
      </c>
      <c r="K352" t="s">
        <v>26</v>
      </c>
      <c r="L352" t="s">
        <v>18</v>
      </c>
      <c r="M352" t="s">
        <v>19</v>
      </c>
      <c r="N352">
        <f>sales_data_1[[#This Row],[Unit_Price]]-sales_data_1[[#This Row],[Unit_Cost]]</f>
        <v>365.15000000000009</v>
      </c>
      <c r="O352">
        <f>sales_data_1[[#This Row],[Unit_Price]]*sales_data_1[[#This Row],[Quantity_Sold]]</f>
        <v>33573.870000000003</v>
      </c>
      <c r="P352">
        <f>sales_data_1[[#This Row],[Unit - cost]]*sales_data_1[[#This Row],[Quantity_Sold]]</f>
        <v>3286.3500000000008</v>
      </c>
    </row>
    <row r="353" spans="1:16" x14ac:dyDescent="0.3">
      <c r="A353">
        <v>1030</v>
      </c>
      <c r="B353" s="1">
        <v>45256</v>
      </c>
      <c r="C353" t="s">
        <v>41</v>
      </c>
      <c r="D353" t="s">
        <v>20</v>
      </c>
      <c r="E353">
        <v>39</v>
      </c>
      <c r="F353" t="s">
        <v>34</v>
      </c>
      <c r="G353">
        <v>2041.75</v>
      </c>
      <c r="H353">
        <v>2299.37</v>
      </c>
      <c r="I353" t="s">
        <v>16</v>
      </c>
      <c r="J353">
        <v>0.24</v>
      </c>
      <c r="K353" t="s">
        <v>26</v>
      </c>
      <c r="L353" t="s">
        <v>21</v>
      </c>
      <c r="M353" t="s">
        <v>50</v>
      </c>
      <c r="N353">
        <f>sales_data_1[[#This Row],[Unit_Price]]-sales_data_1[[#This Row],[Unit_Cost]]</f>
        <v>257.61999999999989</v>
      </c>
      <c r="O353">
        <f>sales_data_1[[#This Row],[Unit_Price]]*sales_data_1[[#This Row],[Quantity_Sold]]</f>
        <v>89675.43</v>
      </c>
      <c r="P353">
        <f>sales_data_1[[#This Row],[Unit - cost]]*sales_data_1[[#This Row],[Quantity_Sold]]</f>
        <v>10047.179999999997</v>
      </c>
    </row>
    <row r="354" spans="1:16" x14ac:dyDescent="0.3">
      <c r="A354">
        <v>1097</v>
      </c>
      <c r="B354" s="1">
        <v>45189</v>
      </c>
      <c r="C354" t="s">
        <v>23</v>
      </c>
      <c r="D354" t="s">
        <v>14</v>
      </c>
      <c r="E354">
        <v>45</v>
      </c>
      <c r="F354" t="s">
        <v>28</v>
      </c>
      <c r="G354">
        <v>1525.13</v>
      </c>
      <c r="H354">
        <v>1868.3200000000002</v>
      </c>
      <c r="I354" t="s">
        <v>16</v>
      </c>
      <c r="J354">
        <v>0.24</v>
      </c>
      <c r="K354" t="s">
        <v>17</v>
      </c>
      <c r="L354" t="s">
        <v>21</v>
      </c>
      <c r="M354" t="s">
        <v>44</v>
      </c>
      <c r="N354">
        <f>sales_data_1[[#This Row],[Unit_Price]]-sales_data_1[[#This Row],[Unit_Cost]]</f>
        <v>343.19000000000005</v>
      </c>
      <c r="O354">
        <f>sales_data_1[[#This Row],[Unit_Price]]*sales_data_1[[#This Row],[Quantity_Sold]]</f>
        <v>84074.400000000009</v>
      </c>
      <c r="P354">
        <f>sales_data_1[[#This Row],[Unit - cost]]*sales_data_1[[#This Row],[Quantity_Sold]]</f>
        <v>15443.550000000003</v>
      </c>
    </row>
    <row r="355" spans="1:16" x14ac:dyDescent="0.3">
      <c r="A355">
        <v>1028</v>
      </c>
      <c r="B355" s="1">
        <v>45087</v>
      </c>
      <c r="C355" t="s">
        <v>41</v>
      </c>
      <c r="D355" t="s">
        <v>14</v>
      </c>
      <c r="E355">
        <v>2</v>
      </c>
      <c r="F355" t="s">
        <v>15</v>
      </c>
      <c r="G355">
        <v>3146.12</v>
      </c>
      <c r="H355">
        <v>3255.5299999999997</v>
      </c>
      <c r="I355" t="s">
        <v>16</v>
      </c>
      <c r="J355">
        <v>0.06</v>
      </c>
      <c r="K355" t="s">
        <v>26</v>
      </c>
      <c r="L355" t="s">
        <v>18</v>
      </c>
      <c r="M355" t="s">
        <v>48</v>
      </c>
      <c r="N355">
        <f>sales_data_1[[#This Row],[Unit_Price]]-sales_data_1[[#This Row],[Unit_Cost]]</f>
        <v>109.40999999999985</v>
      </c>
      <c r="O355">
        <f>sales_data_1[[#This Row],[Unit_Price]]*sales_data_1[[#This Row],[Quantity_Sold]]</f>
        <v>6511.0599999999995</v>
      </c>
      <c r="P355">
        <f>sales_data_1[[#This Row],[Unit - cost]]*sales_data_1[[#This Row],[Quantity_Sold]]</f>
        <v>218.81999999999971</v>
      </c>
    </row>
    <row r="356" spans="1:16" x14ac:dyDescent="0.3">
      <c r="A356">
        <v>1064</v>
      </c>
      <c r="B356" s="1">
        <v>45077</v>
      </c>
      <c r="C356" t="s">
        <v>23</v>
      </c>
      <c r="D356" t="s">
        <v>24</v>
      </c>
      <c r="E356">
        <v>8</v>
      </c>
      <c r="F356" t="s">
        <v>28</v>
      </c>
      <c r="G356">
        <v>816.54</v>
      </c>
      <c r="H356">
        <v>1191.9000000000001</v>
      </c>
      <c r="I356" t="s">
        <v>29</v>
      </c>
      <c r="J356">
        <v>0.03</v>
      </c>
      <c r="K356" t="s">
        <v>17</v>
      </c>
      <c r="L356" t="s">
        <v>21</v>
      </c>
      <c r="M356" t="s">
        <v>27</v>
      </c>
      <c r="N356">
        <f>sales_data_1[[#This Row],[Unit_Price]]-sales_data_1[[#This Row],[Unit_Cost]]</f>
        <v>375.36000000000013</v>
      </c>
      <c r="O356">
        <f>sales_data_1[[#This Row],[Unit_Price]]*sales_data_1[[#This Row],[Quantity_Sold]]</f>
        <v>9535.2000000000007</v>
      </c>
      <c r="P356">
        <f>sales_data_1[[#This Row],[Unit - cost]]*sales_data_1[[#This Row],[Quantity_Sold]]</f>
        <v>3002.880000000001</v>
      </c>
    </row>
    <row r="357" spans="1:16" x14ac:dyDescent="0.3">
      <c r="A357">
        <v>1097</v>
      </c>
      <c r="B357" s="1">
        <v>45011</v>
      </c>
      <c r="C357" t="s">
        <v>23</v>
      </c>
      <c r="D357" t="s">
        <v>33</v>
      </c>
      <c r="E357">
        <v>7</v>
      </c>
      <c r="F357" t="s">
        <v>28</v>
      </c>
      <c r="G357">
        <v>1896.35</v>
      </c>
      <c r="H357">
        <v>2394.1999999999998</v>
      </c>
      <c r="I357" t="s">
        <v>29</v>
      </c>
      <c r="J357">
        <v>0.22</v>
      </c>
      <c r="K357" t="s">
        <v>26</v>
      </c>
      <c r="L357" t="s">
        <v>18</v>
      </c>
      <c r="M357" t="s">
        <v>49</v>
      </c>
      <c r="N357">
        <f>sales_data_1[[#This Row],[Unit_Price]]-sales_data_1[[#This Row],[Unit_Cost]]</f>
        <v>497.84999999999991</v>
      </c>
      <c r="O357">
        <f>sales_data_1[[#This Row],[Unit_Price]]*sales_data_1[[#This Row],[Quantity_Sold]]</f>
        <v>16759.399999999998</v>
      </c>
      <c r="P357">
        <f>sales_data_1[[#This Row],[Unit - cost]]*sales_data_1[[#This Row],[Quantity_Sold]]</f>
        <v>3484.9499999999994</v>
      </c>
    </row>
    <row r="358" spans="1:16" x14ac:dyDescent="0.3">
      <c r="A358">
        <v>1069</v>
      </c>
      <c r="B358" s="1">
        <v>45073</v>
      </c>
      <c r="C358" t="s">
        <v>32</v>
      </c>
      <c r="D358" t="s">
        <v>20</v>
      </c>
      <c r="E358">
        <v>44</v>
      </c>
      <c r="F358" t="s">
        <v>34</v>
      </c>
      <c r="G358">
        <v>1084.73</v>
      </c>
      <c r="H358">
        <v>1420.9</v>
      </c>
      <c r="I358" t="s">
        <v>16</v>
      </c>
      <c r="J358">
        <v>0.05</v>
      </c>
      <c r="K358" t="s">
        <v>30</v>
      </c>
      <c r="L358" t="s">
        <v>18</v>
      </c>
      <c r="M358" t="s">
        <v>36</v>
      </c>
      <c r="N358">
        <f>sales_data_1[[#This Row],[Unit_Price]]-sales_data_1[[#This Row],[Unit_Cost]]</f>
        <v>336.17000000000007</v>
      </c>
      <c r="O358">
        <f>sales_data_1[[#This Row],[Unit_Price]]*sales_data_1[[#This Row],[Quantity_Sold]]</f>
        <v>62519.600000000006</v>
      </c>
      <c r="P358">
        <f>sales_data_1[[#This Row],[Unit - cost]]*sales_data_1[[#This Row],[Quantity_Sold]]</f>
        <v>14791.480000000003</v>
      </c>
    </row>
    <row r="359" spans="1:16" x14ac:dyDescent="0.3">
      <c r="A359">
        <v>1061</v>
      </c>
      <c r="B359" s="1">
        <v>45038</v>
      </c>
      <c r="C359" t="s">
        <v>37</v>
      </c>
      <c r="D359" t="s">
        <v>24</v>
      </c>
      <c r="E359">
        <v>39</v>
      </c>
      <c r="F359" t="s">
        <v>34</v>
      </c>
      <c r="G359">
        <v>3494.19</v>
      </c>
      <c r="H359">
        <v>3746</v>
      </c>
      <c r="I359" t="s">
        <v>16</v>
      </c>
      <c r="J359">
        <v>0.25</v>
      </c>
      <c r="K359" t="s">
        <v>26</v>
      </c>
      <c r="L359" t="s">
        <v>21</v>
      </c>
      <c r="M359" t="s">
        <v>38</v>
      </c>
      <c r="N359">
        <f>sales_data_1[[#This Row],[Unit_Price]]-sales_data_1[[#This Row],[Unit_Cost]]</f>
        <v>251.80999999999995</v>
      </c>
      <c r="O359">
        <f>sales_data_1[[#This Row],[Unit_Price]]*sales_data_1[[#This Row],[Quantity_Sold]]</f>
        <v>146094</v>
      </c>
      <c r="P359">
        <f>sales_data_1[[#This Row],[Unit - cost]]*sales_data_1[[#This Row],[Quantity_Sold]]</f>
        <v>9820.5899999999983</v>
      </c>
    </row>
    <row r="360" spans="1:16" x14ac:dyDescent="0.3">
      <c r="A360">
        <v>1048</v>
      </c>
      <c r="B360" s="1">
        <v>44962</v>
      </c>
      <c r="C360" t="s">
        <v>23</v>
      </c>
      <c r="D360" t="s">
        <v>14</v>
      </c>
      <c r="E360">
        <v>42</v>
      </c>
      <c r="F360" t="s">
        <v>34</v>
      </c>
      <c r="G360">
        <v>4723.83</v>
      </c>
      <c r="H360">
        <v>5186.1899999999996</v>
      </c>
      <c r="I360" t="s">
        <v>16</v>
      </c>
      <c r="J360">
        <v>0.22</v>
      </c>
      <c r="K360" t="s">
        <v>30</v>
      </c>
      <c r="L360" t="s">
        <v>18</v>
      </c>
      <c r="M360" t="s">
        <v>44</v>
      </c>
      <c r="N360">
        <f>sales_data_1[[#This Row],[Unit_Price]]-sales_data_1[[#This Row],[Unit_Cost]]</f>
        <v>462.35999999999967</v>
      </c>
      <c r="O360">
        <f>sales_data_1[[#This Row],[Unit_Price]]*sales_data_1[[#This Row],[Quantity_Sold]]</f>
        <v>217819.97999999998</v>
      </c>
      <c r="P360">
        <f>sales_data_1[[#This Row],[Unit - cost]]*sales_data_1[[#This Row],[Quantity_Sold]]</f>
        <v>19419.119999999988</v>
      </c>
    </row>
    <row r="361" spans="1:16" x14ac:dyDescent="0.3">
      <c r="A361">
        <v>1019</v>
      </c>
      <c r="B361" s="1">
        <v>45211</v>
      </c>
      <c r="C361" t="s">
        <v>32</v>
      </c>
      <c r="D361" t="s">
        <v>20</v>
      </c>
      <c r="E361">
        <v>16</v>
      </c>
      <c r="F361" t="s">
        <v>28</v>
      </c>
      <c r="G361">
        <v>4977.78</v>
      </c>
      <c r="H361">
        <v>4995.55</v>
      </c>
      <c r="I361" t="s">
        <v>29</v>
      </c>
      <c r="J361">
        <v>0.25</v>
      </c>
      <c r="K361" t="s">
        <v>30</v>
      </c>
      <c r="L361" t="s">
        <v>18</v>
      </c>
      <c r="M361" t="s">
        <v>36</v>
      </c>
      <c r="N361">
        <f>sales_data_1[[#This Row],[Unit_Price]]-sales_data_1[[#This Row],[Unit_Cost]]</f>
        <v>17.770000000000437</v>
      </c>
      <c r="O361">
        <f>sales_data_1[[#This Row],[Unit_Price]]*sales_data_1[[#This Row],[Quantity_Sold]]</f>
        <v>79928.800000000003</v>
      </c>
      <c r="P361">
        <f>sales_data_1[[#This Row],[Unit - cost]]*sales_data_1[[#This Row],[Quantity_Sold]]</f>
        <v>284.32000000000698</v>
      </c>
    </row>
    <row r="362" spans="1:16" x14ac:dyDescent="0.3">
      <c r="A362">
        <v>1004</v>
      </c>
      <c r="B362" s="1">
        <v>45114</v>
      </c>
      <c r="C362" t="s">
        <v>37</v>
      </c>
      <c r="D362" t="s">
        <v>14</v>
      </c>
      <c r="E362">
        <v>35</v>
      </c>
      <c r="F362" t="s">
        <v>28</v>
      </c>
      <c r="G362">
        <v>2278.87</v>
      </c>
      <c r="H362">
        <v>2646.5299999999997</v>
      </c>
      <c r="I362" t="s">
        <v>16</v>
      </c>
      <c r="J362">
        <v>0.09</v>
      </c>
      <c r="K362" t="s">
        <v>26</v>
      </c>
      <c r="L362" t="s">
        <v>18</v>
      </c>
      <c r="M362" t="s">
        <v>39</v>
      </c>
      <c r="N362">
        <f>sales_data_1[[#This Row],[Unit_Price]]-sales_data_1[[#This Row],[Unit_Cost]]</f>
        <v>367.65999999999985</v>
      </c>
      <c r="O362">
        <f>sales_data_1[[#This Row],[Unit_Price]]*sales_data_1[[#This Row],[Quantity_Sold]]</f>
        <v>92628.549999999988</v>
      </c>
      <c r="P362">
        <f>sales_data_1[[#This Row],[Unit - cost]]*sales_data_1[[#This Row],[Quantity_Sold]]</f>
        <v>12868.099999999995</v>
      </c>
    </row>
    <row r="363" spans="1:16" x14ac:dyDescent="0.3">
      <c r="A363">
        <v>1035</v>
      </c>
      <c r="B363" s="1">
        <v>45008</v>
      </c>
      <c r="C363" t="s">
        <v>23</v>
      </c>
      <c r="D363" t="s">
        <v>33</v>
      </c>
      <c r="E363">
        <v>30</v>
      </c>
      <c r="F363" t="s">
        <v>28</v>
      </c>
      <c r="G363">
        <v>1300.03</v>
      </c>
      <c r="H363">
        <v>1745.52</v>
      </c>
      <c r="I363" t="s">
        <v>29</v>
      </c>
      <c r="J363">
        <v>0.09</v>
      </c>
      <c r="K363" t="s">
        <v>17</v>
      </c>
      <c r="L363" t="s">
        <v>21</v>
      </c>
      <c r="M363" t="s">
        <v>49</v>
      </c>
      <c r="N363">
        <f>sales_data_1[[#This Row],[Unit_Price]]-sales_data_1[[#This Row],[Unit_Cost]]</f>
        <v>445.49</v>
      </c>
      <c r="O363">
        <f>sales_data_1[[#This Row],[Unit_Price]]*sales_data_1[[#This Row],[Quantity_Sold]]</f>
        <v>52365.599999999999</v>
      </c>
      <c r="P363">
        <f>sales_data_1[[#This Row],[Unit - cost]]*sales_data_1[[#This Row],[Quantity_Sold]]</f>
        <v>13364.7</v>
      </c>
    </row>
    <row r="364" spans="1:16" x14ac:dyDescent="0.3">
      <c r="A364">
        <v>1064</v>
      </c>
      <c r="B364" s="1">
        <v>44928</v>
      </c>
      <c r="C364" t="s">
        <v>23</v>
      </c>
      <c r="D364" t="s">
        <v>24</v>
      </c>
      <c r="E364">
        <v>10</v>
      </c>
      <c r="F364" t="s">
        <v>34</v>
      </c>
      <c r="G364">
        <v>2242.0100000000002</v>
      </c>
      <c r="H364">
        <v>2282.23</v>
      </c>
      <c r="I364" t="s">
        <v>16</v>
      </c>
      <c r="J364">
        <v>0.2</v>
      </c>
      <c r="K364" t="s">
        <v>30</v>
      </c>
      <c r="L364" t="s">
        <v>18</v>
      </c>
      <c r="M364" t="s">
        <v>27</v>
      </c>
      <c r="N364">
        <f>sales_data_1[[#This Row],[Unit_Price]]-sales_data_1[[#This Row],[Unit_Cost]]</f>
        <v>40.2199999999998</v>
      </c>
      <c r="O364">
        <f>sales_data_1[[#This Row],[Unit_Price]]*sales_data_1[[#This Row],[Quantity_Sold]]</f>
        <v>22822.3</v>
      </c>
      <c r="P364">
        <f>sales_data_1[[#This Row],[Unit - cost]]*sales_data_1[[#This Row],[Quantity_Sold]]</f>
        <v>402.199999999998</v>
      </c>
    </row>
    <row r="365" spans="1:16" x14ac:dyDescent="0.3">
      <c r="A365">
        <v>1049</v>
      </c>
      <c r="B365" s="1">
        <v>45229</v>
      </c>
      <c r="C365" t="s">
        <v>41</v>
      </c>
      <c r="D365" t="s">
        <v>33</v>
      </c>
      <c r="E365">
        <v>38</v>
      </c>
      <c r="F365" t="s">
        <v>25</v>
      </c>
      <c r="G365">
        <v>4243.9799999999996</v>
      </c>
      <c r="H365">
        <v>4474.5099999999993</v>
      </c>
      <c r="I365" t="s">
        <v>29</v>
      </c>
      <c r="J365">
        <v>0.01</v>
      </c>
      <c r="K365" t="s">
        <v>30</v>
      </c>
      <c r="L365" t="s">
        <v>18</v>
      </c>
      <c r="M365" t="s">
        <v>51</v>
      </c>
      <c r="N365">
        <f>sales_data_1[[#This Row],[Unit_Price]]-sales_data_1[[#This Row],[Unit_Cost]]</f>
        <v>230.52999999999975</v>
      </c>
      <c r="O365">
        <f>sales_data_1[[#This Row],[Unit_Price]]*sales_data_1[[#This Row],[Quantity_Sold]]</f>
        <v>170031.37999999998</v>
      </c>
      <c r="P365">
        <f>sales_data_1[[#This Row],[Unit - cost]]*sales_data_1[[#This Row],[Quantity_Sold]]</f>
        <v>8760.1399999999903</v>
      </c>
    </row>
    <row r="366" spans="1:16" x14ac:dyDescent="0.3">
      <c r="A366">
        <v>1017</v>
      </c>
      <c r="B366" s="1">
        <v>45123</v>
      </c>
      <c r="C366" t="s">
        <v>41</v>
      </c>
      <c r="D366" t="s">
        <v>24</v>
      </c>
      <c r="E366">
        <v>18</v>
      </c>
      <c r="F366" t="s">
        <v>15</v>
      </c>
      <c r="G366">
        <v>1069.73</v>
      </c>
      <c r="H366">
        <v>1180.04</v>
      </c>
      <c r="I366" t="s">
        <v>16</v>
      </c>
      <c r="J366">
        <v>0.22</v>
      </c>
      <c r="K366" t="s">
        <v>26</v>
      </c>
      <c r="L366" t="s">
        <v>18</v>
      </c>
      <c r="M366" t="s">
        <v>42</v>
      </c>
      <c r="N366">
        <f>sales_data_1[[#This Row],[Unit_Price]]-sales_data_1[[#This Row],[Unit_Cost]]</f>
        <v>110.30999999999995</v>
      </c>
      <c r="O366">
        <f>sales_data_1[[#This Row],[Unit_Price]]*sales_data_1[[#This Row],[Quantity_Sold]]</f>
        <v>21240.720000000001</v>
      </c>
      <c r="P366">
        <f>sales_data_1[[#This Row],[Unit - cost]]*sales_data_1[[#This Row],[Quantity_Sold]]</f>
        <v>1985.579999999999</v>
      </c>
    </row>
    <row r="367" spans="1:16" x14ac:dyDescent="0.3">
      <c r="A367">
        <v>1044</v>
      </c>
      <c r="B367" s="1">
        <v>44937</v>
      </c>
      <c r="C367" t="s">
        <v>37</v>
      </c>
      <c r="D367" t="s">
        <v>14</v>
      </c>
      <c r="E367">
        <v>5</v>
      </c>
      <c r="F367" t="s">
        <v>25</v>
      </c>
      <c r="G367">
        <v>4762.87</v>
      </c>
      <c r="H367">
        <v>5050.46</v>
      </c>
      <c r="I367" t="s">
        <v>29</v>
      </c>
      <c r="J367">
        <v>0.25</v>
      </c>
      <c r="K367" t="s">
        <v>17</v>
      </c>
      <c r="L367" t="s">
        <v>21</v>
      </c>
      <c r="M367" t="s">
        <v>39</v>
      </c>
      <c r="N367">
        <f>sales_data_1[[#This Row],[Unit_Price]]-sales_data_1[[#This Row],[Unit_Cost]]</f>
        <v>287.59000000000015</v>
      </c>
      <c r="O367">
        <f>sales_data_1[[#This Row],[Unit_Price]]*sales_data_1[[#This Row],[Quantity_Sold]]</f>
        <v>25252.3</v>
      </c>
      <c r="P367">
        <f>sales_data_1[[#This Row],[Unit - cost]]*sales_data_1[[#This Row],[Quantity_Sold]]</f>
        <v>1437.9500000000007</v>
      </c>
    </row>
    <row r="368" spans="1:16" x14ac:dyDescent="0.3">
      <c r="A368">
        <v>1092</v>
      </c>
      <c r="B368" s="1">
        <v>45160</v>
      </c>
      <c r="C368" t="s">
        <v>23</v>
      </c>
      <c r="D368" t="s">
        <v>33</v>
      </c>
      <c r="E368">
        <v>29</v>
      </c>
      <c r="F368" t="s">
        <v>28</v>
      </c>
      <c r="G368">
        <v>1742.24</v>
      </c>
      <c r="H368">
        <v>2070.52</v>
      </c>
      <c r="I368" t="s">
        <v>29</v>
      </c>
      <c r="J368">
        <v>0.12</v>
      </c>
      <c r="K368" t="s">
        <v>17</v>
      </c>
      <c r="L368" t="s">
        <v>18</v>
      </c>
      <c r="M368" t="s">
        <v>49</v>
      </c>
      <c r="N368">
        <f>sales_data_1[[#This Row],[Unit_Price]]-sales_data_1[[#This Row],[Unit_Cost]]</f>
        <v>328.28</v>
      </c>
      <c r="O368">
        <f>sales_data_1[[#This Row],[Unit_Price]]*sales_data_1[[#This Row],[Quantity_Sold]]</f>
        <v>60045.08</v>
      </c>
      <c r="P368">
        <f>sales_data_1[[#This Row],[Unit - cost]]*sales_data_1[[#This Row],[Quantity_Sold]]</f>
        <v>9520.119999999999</v>
      </c>
    </row>
    <row r="369" spans="1:16" x14ac:dyDescent="0.3">
      <c r="A369">
        <v>1030</v>
      </c>
      <c r="B369" s="1">
        <v>45121</v>
      </c>
      <c r="C369" t="s">
        <v>13</v>
      </c>
      <c r="D369" t="s">
        <v>33</v>
      </c>
      <c r="E369">
        <v>39</v>
      </c>
      <c r="F369" t="s">
        <v>28</v>
      </c>
      <c r="G369">
        <v>4929.7299999999996</v>
      </c>
      <c r="H369">
        <v>5088.0199999999995</v>
      </c>
      <c r="I369" t="s">
        <v>29</v>
      </c>
      <c r="J369">
        <v>0.23</v>
      </c>
      <c r="K369" t="s">
        <v>26</v>
      </c>
      <c r="L369" t="s">
        <v>21</v>
      </c>
      <c r="M369" t="s">
        <v>45</v>
      </c>
      <c r="N369">
        <f>sales_data_1[[#This Row],[Unit_Price]]-sales_data_1[[#This Row],[Unit_Cost]]</f>
        <v>158.28999999999996</v>
      </c>
      <c r="O369">
        <f>sales_data_1[[#This Row],[Unit_Price]]*sales_data_1[[#This Row],[Quantity_Sold]]</f>
        <v>198432.77999999997</v>
      </c>
      <c r="P369">
        <f>sales_data_1[[#This Row],[Unit - cost]]*sales_data_1[[#This Row],[Quantity_Sold]]</f>
        <v>6173.3099999999986</v>
      </c>
    </row>
    <row r="370" spans="1:16" x14ac:dyDescent="0.3">
      <c r="A370">
        <v>1093</v>
      </c>
      <c r="B370" s="1">
        <v>45045</v>
      </c>
      <c r="C370" t="s">
        <v>41</v>
      </c>
      <c r="D370" t="s">
        <v>14</v>
      </c>
      <c r="E370">
        <v>34</v>
      </c>
      <c r="F370" t="s">
        <v>25</v>
      </c>
      <c r="G370">
        <v>4201.1099999999997</v>
      </c>
      <c r="H370">
        <v>4436.5</v>
      </c>
      <c r="I370" t="s">
        <v>29</v>
      </c>
      <c r="J370">
        <v>0.05</v>
      </c>
      <c r="K370" t="s">
        <v>17</v>
      </c>
      <c r="L370" t="s">
        <v>18</v>
      </c>
      <c r="M370" t="s">
        <v>48</v>
      </c>
      <c r="N370">
        <f>sales_data_1[[#This Row],[Unit_Price]]-sales_data_1[[#This Row],[Unit_Cost]]</f>
        <v>235.39000000000033</v>
      </c>
      <c r="O370">
        <f>sales_data_1[[#This Row],[Unit_Price]]*sales_data_1[[#This Row],[Quantity_Sold]]</f>
        <v>150841</v>
      </c>
      <c r="P370">
        <f>sales_data_1[[#This Row],[Unit - cost]]*sales_data_1[[#This Row],[Quantity_Sold]]</f>
        <v>8003.2600000000111</v>
      </c>
    </row>
    <row r="371" spans="1:16" x14ac:dyDescent="0.3">
      <c r="A371">
        <v>1046</v>
      </c>
      <c r="B371" s="1">
        <v>44946</v>
      </c>
      <c r="C371" t="s">
        <v>37</v>
      </c>
      <c r="D371" t="s">
        <v>33</v>
      </c>
      <c r="E371">
        <v>43</v>
      </c>
      <c r="F371" t="s">
        <v>28</v>
      </c>
      <c r="G371">
        <v>4052.42</v>
      </c>
      <c r="H371">
        <v>4199.3</v>
      </c>
      <c r="I371" t="s">
        <v>29</v>
      </c>
      <c r="J371">
        <v>0.1</v>
      </c>
      <c r="K371" t="s">
        <v>26</v>
      </c>
      <c r="L371" t="s">
        <v>21</v>
      </c>
      <c r="M371" t="s">
        <v>47</v>
      </c>
      <c r="N371">
        <f>sales_data_1[[#This Row],[Unit_Price]]-sales_data_1[[#This Row],[Unit_Cost]]</f>
        <v>146.88000000000011</v>
      </c>
      <c r="O371">
        <f>sales_data_1[[#This Row],[Unit_Price]]*sales_data_1[[#This Row],[Quantity_Sold]]</f>
        <v>180569.9</v>
      </c>
      <c r="P371">
        <f>sales_data_1[[#This Row],[Unit - cost]]*sales_data_1[[#This Row],[Quantity_Sold]]</f>
        <v>6315.8400000000047</v>
      </c>
    </row>
    <row r="372" spans="1:16" x14ac:dyDescent="0.3">
      <c r="A372">
        <v>1006</v>
      </c>
      <c r="B372" s="1">
        <v>45187</v>
      </c>
      <c r="C372" t="s">
        <v>23</v>
      </c>
      <c r="D372" t="s">
        <v>20</v>
      </c>
      <c r="E372">
        <v>45</v>
      </c>
      <c r="F372" t="s">
        <v>15</v>
      </c>
      <c r="G372">
        <v>1623.63</v>
      </c>
      <c r="H372">
        <v>1814.63</v>
      </c>
      <c r="I372" t="s">
        <v>29</v>
      </c>
      <c r="J372">
        <v>0.28999999999999998</v>
      </c>
      <c r="K372" t="s">
        <v>26</v>
      </c>
      <c r="L372" t="s">
        <v>21</v>
      </c>
      <c r="M372" t="s">
        <v>46</v>
      </c>
      <c r="N372">
        <f>sales_data_1[[#This Row],[Unit_Price]]-sales_data_1[[#This Row],[Unit_Cost]]</f>
        <v>191</v>
      </c>
      <c r="O372">
        <f>sales_data_1[[#This Row],[Unit_Price]]*sales_data_1[[#This Row],[Quantity_Sold]]</f>
        <v>81658.350000000006</v>
      </c>
      <c r="P372">
        <f>sales_data_1[[#This Row],[Unit - cost]]*sales_data_1[[#This Row],[Quantity_Sold]]</f>
        <v>8595</v>
      </c>
    </row>
    <row r="373" spans="1:16" x14ac:dyDescent="0.3">
      <c r="A373">
        <v>1099</v>
      </c>
      <c r="B373" s="1">
        <v>45219</v>
      </c>
      <c r="C373" t="s">
        <v>23</v>
      </c>
      <c r="D373" t="s">
        <v>24</v>
      </c>
      <c r="E373">
        <v>23</v>
      </c>
      <c r="F373" t="s">
        <v>28</v>
      </c>
      <c r="G373">
        <v>93.45</v>
      </c>
      <c r="H373">
        <v>181.62</v>
      </c>
      <c r="I373" t="s">
        <v>16</v>
      </c>
      <c r="J373">
        <v>0.3</v>
      </c>
      <c r="K373" t="s">
        <v>26</v>
      </c>
      <c r="L373" t="s">
        <v>21</v>
      </c>
      <c r="M373" t="s">
        <v>27</v>
      </c>
      <c r="N373">
        <f>sales_data_1[[#This Row],[Unit_Price]]-sales_data_1[[#This Row],[Unit_Cost]]</f>
        <v>88.17</v>
      </c>
      <c r="O373">
        <f>sales_data_1[[#This Row],[Unit_Price]]*sales_data_1[[#This Row],[Quantity_Sold]]</f>
        <v>4177.26</v>
      </c>
      <c r="P373">
        <f>sales_data_1[[#This Row],[Unit - cost]]*sales_data_1[[#This Row],[Quantity_Sold]]</f>
        <v>2027.91</v>
      </c>
    </row>
    <row r="374" spans="1:16" x14ac:dyDescent="0.3">
      <c r="A374">
        <v>1037</v>
      </c>
      <c r="B374" s="1">
        <v>45182</v>
      </c>
      <c r="C374" t="s">
        <v>13</v>
      </c>
      <c r="D374" t="s">
        <v>24</v>
      </c>
      <c r="E374">
        <v>5</v>
      </c>
      <c r="F374" t="s">
        <v>15</v>
      </c>
      <c r="G374">
        <v>1941.56</v>
      </c>
      <c r="H374">
        <v>2385.48</v>
      </c>
      <c r="I374" t="s">
        <v>16</v>
      </c>
      <c r="J374">
        <v>0.15</v>
      </c>
      <c r="K374" t="s">
        <v>30</v>
      </c>
      <c r="L374" t="s">
        <v>18</v>
      </c>
      <c r="M374" t="s">
        <v>31</v>
      </c>
      <c r="N374">
        <f>sales_data_1[[#This Row],[Unit_Price]]-sales_data_1[[#This Row],[Unit_Cost]]</f>
        <v>443.92000000000007</v>
      </c>
      <c r="O374">
        <f>sales_data_1[[#This Row],[Unit_Price]]*sales_data_1[[#This Row],[Quantity_Sold]]</f>
        <v>11927.4</v>
      </c>
      <c r="P374">
        <f>sales_data_1[[#This Row],[Unit - cost]]*sales_data_1[[#This Row],[Quantity_Sold]]</f>
        <v>2219.6000000000004</v>
      </c>
    </row>
    <row r="375" spans="1:16" x14ac:dyDescent="0.3">
      <c r="A375">
        <v>1024</v>
      </c>
      <c r="B375" s="1">
        <v>45148</v>
      </c>
      <c r="C375" t="s">
        <v>37</v>
      </c>
      <c r="D375" t="s">
        <v>24</v>
      </c>
      <c r="E375">
        <v>30</v>
      </c>
      <c r="F375" t="s">
        <v>25</v>
      </c>
      <c r="G375">
        <v>1543.96</v>
      </c>
      <c r="H375">
        <v>1558.8700000000001</v>
      </c>
      <c r="I375" t="s">
        <v>16</v>
      </c>
      <c r="J375">
        <v>0.28000000000000003</v>
      </c>
      <c r="K375" t="s">
        <v>30</v>
      </c>
      <c r="L375" t="s">
        <v>18</v>
      </c>
      <c r="M375" t="s">
        <v>38</v>
      </c>
      <c r="N375">
        <f>sales_data_1[[#This Row],[Unit_Price]]-sales_data_1[[#This Row],[Unit_Cost]]</f>
        <v>14.910000000000082</v>
      </c>
      <c r="O375">
        <f>sales_data_1[[#This Row],[Unit_Price]]*sales_data_1[[#This Row],[Quantity_Sold]]</f>
        <v>46766.100000000006</v>
      </c>
      <c r="P375">
        <f>sales_data_1[[#This Row],[Unit - cost]]*sales_data_1[[#This Row],[Quantity_Sold]]</f>
        <v>447.30000000000246</v>
      </c>
    </row>
    <row r="376" spans="1:16" x14ac:dyDescent="0.3">
      <c r="A376">
        <v>1093</v>
      </c>
      <c r="B376" s="1">
        <v>45152</v>
      </c>
      <c r="C376" t="s">
        <v>23</v>
      </c>
      <c r="D376" t="s">
        <v>20</v>
      </c>
      <c r="E376">
        <v>6</v>
      </c>
      <c r="F376" t="s">
        <v>25</v>
      </c>
      <c r="G376">
        <v>235.12</v>
      </c>
      <c r="H376">
        <v>677.5</v>
      </c>
      <c r="I376" t="s">
        <v>16</v>
      </c>
      <c r="J376">
        <v>0.16</v>
      </c>
      <c r="K376" t="s">
        <v>30</v>
      </c>
      <c r="L376" t="s">
        <v>18</v>
      </c>
      <c r="M376" t="s">
        <v>46</v>
      </c>
      <c r="N376">
        <f>sales_data_1[[#This Row],[Unit_Price]]-sales_data_1[[#This Row],[Unit_Cost]]</f>
        <v>442.38</v>
      </c>
      <c r="O376">
        <f>sales_data_1[[#This Row],[Unit_Price]]*sales_data_1[[#This Row],[Quantity_Sold]]</f>
        <v>4065</v>
      </c>
      <c r="P376">
        <f>sales_data_1[[#This Row],[Unit - cost]]*sales_data_1[[#This Row],[Quantity_Sold]]</f>
        <v>2654.2799999999997</v>
      </c>
    </row>
    <row r="377" spans="1:16" x14ac:dyDescent="0.3">
      <c r="A377">
        <v>1046</v>
      </c>
      <c r="B377" s="1">
        <v>44979</v>
      </c>
      <c r="C377" t="s">
        <v>41</v>
      </c>
      <c r="D377" t="s">
        <v>24</v>
      </c>
      <c r="E377">
        <v>46</v>
      </c>
      <c r="F377" t="s">
        <v>28</v>
      </c>
      <c r="G377">
        <v>2551.56</v>
      </c>
      <c r="H377">
        <v>2841.68</v>
      </c>
      <c r="I377" t="s">
        <v>29</v>
      </c>
      <c r="J377">
        <v>0.09</v>
      </c>
      <c r="K377" t="s">
        <v>26</v>
      </c>
      <c r="L377" t="s">
        <v>21</v>
      </c>
      <c r="M377" t="s">
        <v>42</v>
      </c>
      <c r="N377">
        <f>sales_data_1[[#This Row],[Unit_Price]]-sales_data_1[[#This Row],[Unit_Cost]]</f>
        <v>290.11999999999989</v>
      </c>
      <c r="O377">
        <f>sales_data_1[[#This Row],[Unit_Price]]*sales_data_1[[#This Row],[Quantity_Sold]]</f>
        <v>130717.28</v>
      </c>
      <c r="P377">
        <f>sales_data_1[[#This Row],[Unit - cost]]*sales_data_1[[#This Row],[Quantity_Sold]]</f>
        <v>13345.519999999995</v>
      </c>
    </row>
    <row r="378" spans="1:16" x14ac:dyDescent="0.3">
      <c r="A378">
        <v>1053</v>
      </c>
      <c r="B378" s="1">
        <v>45281</v>
      </c>
      <c r="C378" t="s">
        <v>13</v>
      </c>
      <c r="D378" t="s">
        <v>14</v>
      </c>
      <c r="E378">
        <v>44</v>
      </c>
      <c r="F378" t="s">
        <v>15</v>
      </c>
      <c r="G378">
        <v>2045</v>
      </c>
      <c r="H378">
        <v>2217.5100000000002</v>
      </c>
      <c r="I378" t="s">
        <v>16</v>
      </c>
      <c r="J378">
        <v>0.08</v>
      </c>
      <c r="K378" t="s">
        <v>30</v>
      </c>
      <c r="L378" t="s">
        <v>18</v>
      </c>
      <c r="M378" t="s">
        <v>19</v>
      </c>
      <c r="N378">
        <f>sales_data_1[[#This Row],[Unit_Price]]-sales_data_1[[#This Row],[Unit_Cost]]</f>
        <v>172.51000000000022</v>
      </c>
      <c r="O378">
        <f>sales_data_1[[#This Row],[Unit_Price]]*sales_data_1[[#This Row],[Quantity_Sold]]</f>
        <v>97570.44</v>
      </c>
      <c r="P378">
        <f>sales_data_1[[#This Row],[Unit - cost]]*sales_data_1[[#This Row],[Quantity_Sold]]</f>
        <v>7590.4400000000096</v>
      </c>
    </row>
    <row r="379" spans="1:16" x14ac:dyDescent="0.3">
      <c r="A379">
        <v>1095</v>
      </c>
      <c r="B379" s="1">
        <v>45268</v>
      </c>
      <c r="C379" t="s">
        <v>37</v>
      </c>
      <c r="D379" t="s">
        <v>33</v>
      </c>
      <c r="E379">
        <v>4</v>
      </c>
      <c r="F379" t="s">
        <v>28</v>
      </c>
      <c r="G379">
        <v>3191.05</v>
      </c>
      <c r="H379">
        <v>3555.3500000000004</v>
      </c>
      <c r="I379" t="s">
        <v>29</v>
      </c>
      <c r="J379">
        <v>0.28000000000000003</v>
      </c>
      <c r="K379" t="s">
        <v>30</v>
      </c>
      <c r="L379" t="s">
        <v>18</v>
      </c>
      <c r="M379" t="s">
        <v>47</v>
      </c>
      <c r="N379">
        <f>sales_data_1[[#This Row],[Unit_Price]]-sales_data_1[[#This Row],[Unit_Cost]]</f>
        <v>364.30000000000018</v>
      </c>
      <c r="O379">
        <f>sales_data_1[[#This Row],[Unit_Price]]*sales_data_1[[#This Row],[Quantity_Sold]]</f>
        <v>14221.400000000001</v>
      </c>
      <c r="P379">
        <f>sales_data_1[[#This Row],[Unit - cost]]*sales_data_1[[#This Row],[Quantity_Sold]]</f>
        <v>1457.2000000000007</v>
      </c>
    </row>
    <row r="380" spans="1:16" x14ac:dyDescent="0.3">
      <c r="A380">
        <v>1099</v>
      </c>
      <c r="B380" s="1">
        <v>45290</v>
      </c>
      <c r="C380" t="s">
        <v>13</v>
      </c>
      <c r="D380" t="s">
        <v>20</v>
      </c>
      <c r="E380">
        <v>29</v>
      </c>
      <c r="F380" t="s">
        <v>34</v>
      </c>
      <c r="G380">
        <v>3124.87</v>
      </c>
      <c r="H380">
        <v>3383.67</v>
      </c>
      <c r="I380" t="s">
        <v>29</v>
      </c>
      <c r="J380">
        <v>0.05</v>
      </c>
      <c r="K380" t="s">
        <v>30</v>
      </c>
      <c r="L380" t="s">
        <v>21</v>
      </c>
      <c r="M380" t="s">
        <v>22</v>
      </c>
      <c r="N380">
        <f>sales_data_1[[#This Row],[Unit_Price]]-sales_data_1[[#This Row],[Unit_Cost]]</f>
        <v>258.80000000000018</v>
      </c>
      <c r="O380">
        <f>sales_data_1[[#This Row],[Unit_Price]]*sales_data_1[[#This Row],[Quantity_Sold]]</f>
        <v>98126.430000000008</v>
      </c>
      <c r="P380">
        <f>sales_data_1[[#This Row],[Unit - cost]]*sales_data_1[[#This Row],[Quantity_Sold]]</f>
        <v>7505.2000000000053</v>
      </c>
    </row>
    <row r="381" spans="1:16" x14ac:dyDescent="0.3">
      <c r="A381">
        <v>1060</v>
      </c>
      <c r="B381" s="1">
        <v>45206</v>
      </c>
      <c r="C381" t="s">
        <v>41</v>
      </c>
      <c r="D381" t="s">
        <v>24</v>
      </c>
      <c r="E381">
        <v>23</v>
      </c>
      <c r="F381" t="s">
        <v>34</v>
      </c>
      <c r="G381">
        <v>647.70000000000005</v>
      </c>
      <c r="H381">
        <v>902.26</v>
      </c>
      <c r="I381" t="s">
        <v>29</v>
      </c>
      <c r="J381">
        <v>0.17</v>
      </c>
      <c r="K381" t="s">
        <v>26</v>
      </c>
      <c r="L381" t="s">
        <v>18</v>
      </c>
      <c r="M381" t="s">
        <v>42</v>
      </c>
      <c r="N381">
        <f>sales_data_1[[#This Row],[Unit_Price]]-sales_data_1[[#This Row],[Unit_Cost]]</f>
        <v>254.55999999999995</v>
      </c>
      <c r="O381">
        <f>sales_data_1[[#This Row],[Unit_Price]]*sales_data_1[[#This Row],[Quantity_Sold]]</f>
        <v>20751.98</v>
      </c>
      <c r="P381">
        <f>sales_data_1[[#This Row],[Unit - cost]]*sales_data_1[[#This Row],[Quantity_Sold]]</f>
        <v>5854.8799999999992</v>
      </c>
    </row>
    <row r="382" spans="1:16" x14ac:dyDescent="0.3">
      <c r="A382">
        <v>1097</v>
      </c>
      <c r="B382" s="1">
        <v>45007</v>
      </c>
      <c r="C382" t="s">
        <v>37</v>
      </c>
      <c r="D382" t="s">
        <v>14</v>
      </c>
      <c r="E382">
        <v>6</v>
      </c>
      <c r="F382" t="s">
        <v>34</v>
      </c>
      <c r="G382">
        <v>4885.9799999999996</v>
      </c>
      <c r="H382">
        <v>4949.95</v>
      </c>
      <c r="I382" t="s">
        <v>16</v>
      </c>
      <c r="J382">
        <v>0.17</v>
      </c>
      <c r="K382" t="s">
        <v>26</v>
      </c>
      <c r="L382" t="s">
        <v>18</v>
      </c>
      <c r="M382" t="s">
        <v>39</v>
      </c>
      <c r="N382">
        <f>sales_data_1[[#This Row],[Unit_Price]]-sales_data_1[[#This Row],[Unit_Cost]]</f>
        <v>63.970000000000255</v>
      </c>
      <c r="O382">
        <f>sales_data_1[[#This Row],[Unit_Price]]*sales_data_1[[#This Row],[Quantity_Sold]]</f>
        <v>29699.699999999997</v>
      </c>
      <c r="P382">
        <f>sales_data_1[[#This Row],[Unit - cost]]*sales_data_1[[#This Row],[Quantity_Sold]]</f>
        <v>383.82000000000153</v>
      </c>
    </row>
    <row r="383" spans="1:16" x14ac:dyDescent="0.3">
      <c r="A383">
        <v>1063</v>
      </c>
      <c r="B383" s="1">
        <v>45128</v>
      </c>
      <c r="C383" t="s">
        <v>13</v>
      </c>
      <c r="D383" t="s">
        <v>33</v>
      </c>
      <c r="E383">
        <v>32</v>
      </c>
      <c r="F383" t="s">
        <v>34</v>
      </c>
      <c r="G383">
        <v>975.31</v>
      </c>
      <c r="H383">
        <v>1176.17</v>
      </c>
      <c r="I383" t="s">
        <v>29</v>
      </c>
      <c r="J383">
        <v>0.22</v>
      </c>
      <c r="K383" t="s">
        <v>26</v>
      </c>
      <c r="L383" t="s">
        <v>21</v>
      </c>
      <c r="M383" t="s">
        <v>45</v>
      </c>
      <c r="N383">
        <f>sales_data_1[[#This Row],[Unit_Price]]-sales_data_1[[#This Row],[Unit_Cost]]</f>
        <v>200.86000000000013</v>
      </c>
      <c r="O383">
        <f>sales_data_1[[#This Row],[Unit_Price]]*sales_data_1[[#This Row],[Quantity_Sold]]</f>
        <v>37637.440000000002</v>
      </c>
      <c r="P383">
        <f>sales_data_1[[#This Row],[Unit - cost]]*sales_data_1[[#This Row],[Quantity_Sold]]</f>
        <v>6427.5200000000041</v>
      </c>
    </row>
    <row r="384" spans="1:16" x14ac:dyDescent="0.3">
      <c r="A384">
        <v>1085</v>
      </c>
      <c r="B384" s="1">
        <v>45084</v>
      </c>
      <c r="C384" t="s">
        <v>32</v>
      </c>
      <c r="D384" t="s">
        <v>33</v>
      </c>
      <c r="E384">
        <v>42</v>
      </c>
      <c r="F384" t="s">
        <v>28</v>
      </c>
      <c r="G384">
        <v>2254.11</v>
      </c>
      <c r="H384">
        <v>2382.23</v>
      </c>
      <c r="I384" t="s">
        <v>16</v>
      </c>
      <c r="J384">
        <v>0.15</v>
      </c>
      <c r="K384" t="s">
        <v>30</v>
      </c>
      <c r="L384" t="s">
        <v>21</v>
      </c>
      <c r="M384" t="s">
        <v>35</v>
      </c>
      <c r="N384">
        <f>sales_data_1[[#This Row],[Unit_Price]]-sales_data_1[[#This Row],[Unit_Cost]]</f>
        <v>128.11999999999989</v>
      </c>
      <c r="O384">
        <f>sales_data_1[[#This Row],[Unit_Price]]*sales_data_1[[#This Row],[Quantity_Sold]]</f>
        <v>100053.66</v>
      </c>
      <c r="P384">
        <f>sales_data_1[[#This Row],[Unit - cost]]*sales_data_1[[#This Row],[Quantity_Sold]]</f>
        <v>5381.0399999999954</v>
      </c>
    </row>
    <row r="385" spans="1:16" x14ac:dyDescent="0.3">
      <c r="A385">
        <v>1032</v>
      </c>
      <c r="B385" s="1">
        <v>45046</v>
      </c>
      <c r="C385" t="s">
        <v>41</v>
      </c>
      <c r="D385" t="s">
        <v>20</v>
      </c>
      <c r="E385">
        <v>18</v>
      </c>
      <c r="F385" t="s">
        <v>34</v>
      </c>
      <c r="G385">
        <v>2466.1799999999998</v>
      </c>
      <c r="H385">
        <v>2483.87</v>
      </c>
      <c r="I385" t="s">
        <v>16</v>
      </c>
      <c r="J385">
        <v>0.08</v>
      </c>
      <c r="K385" t="s">
        <v>17</v>
      </c>
      <c r="L385" t="s">
        <v>18</v>
      </c>
      <c r="M385" t="s">
        <v>50</v>
      </c>
      <c r="N385">
        <f>sales_data_1[[#This Row],[Unit_Price]]-sales_data_1[[#This Row],[Unit_Cost]]</f>
        <v>17.690000000000055</v>
      </c>
      <c r="O385">
        <f>sales_data_1[[#This Row],[Unit_Price]]*sales_data_1[[#This Row],[Quantity_Sold]]</f>
        <v>44709.659999999996</v>
      </c>
      <c r="P385">
        <f>sales_data_1[[#This Row],[Unit - cost]]*sales_data_1[[#This Row],[Quantity_Sold]]</f>
        <v>318.42000000000098</v>
      </c>
    </row>
    <row r="386" spans="1:16" x14ac:dyDescent="0.3">
      <c r="A386">
        <v>1087</v>
      </c>
      <c r="B386" s="1">
        <v>44985</v>
      </c>
      <c r="C386" t="s">
        <v>41</v>
      </c>
      <c r="D386" t="s">
        <v>20</v>
      </c>
      <c r="E386">
        <v>15</v>
      </c>
      <c r="F386" t="s">
        <v>15</v>
      </c>
      <c r="G386">
        <v>4074.66</v>
      </c>
      <c r="H386">
        <v>4261.1099999999997</v>
      </c>
      <c r="I386" t="s">
        <v>16</v>
      </c>
      <c r="J386">
        <v>0.05</v>
      </c>
      <c r="K386" t="s">
        <v>30</v>
      </c>
      <c r="L386" t="s">
        <v>21</v>
      </c>
      <c r="M386" t="s">
        <v>50</v>
      </c>
      <c r="N386">
        <f>sales_data_1[[#This Row],[Unit_Price]]-sales_data_1[[#This Row],[Unit_Cost]]</f>
        <v>186.44999999999982</v>
      </c>
      <c r="O386">
        <f>sales_data_1[[#This Row],[Unit_Price]]*sales_data_1[[#This Row],[Quantity_Sold]]</f>
        <v>63916.649999999994</v>
      </c>
      <c r="P386">
        <f>sales_data_1[[#This Row],[Unit - cost]]*sales_data_1[[#This Row],[Quantity_Sold]]</f>
        <v>2796.7499999999973</v>
      </c>
    </row>
    <row r="387" spans="1:16" x14ac:dyDescent="0.3">
      <c r="A387">
        <v>1033</v>
      </c>
      <c r="B387" s="1">
        <v>45141</v>
      </c>
      <c r="C387" t="s">
        <v>41</v>
      </c>
      <c r="D387" t="s">
        <v>20</v>
      </c>
      <c r="E387">
        <v>40</v>
      </c>
      <c r="F387" t="s">
        <v>25</v>
      </c>
      <c r="G387">
        <v>541.19000000000005</v>
      </c>
      <c r="H387">
        <v>595.20000000000005</v>
      </c>
      <c r="I387" t="s">
        <v>16</v>
      </c>
      <c r="J387">
        <v>0.19</v>
      </c>
      <c r="K387" t="s">
        <v>30</v>
      </c>
      <c r="L387" t="s">
        <v>18</v>
      </c>
      <c r="M387" t="s">
        <v>50</v>
      </c>
      <c r="N387">
        <f>sales_data_1[[#This Row],[Unit_Price]]-sales_data_1[[#This Row],[Unit_Cost]]</f>
        <v>54.009999999999991</v>
      </c>
      <c r="O387">
        <f>sales_data_1[[#This Row],[Unit_Price]]*sales_data_1[[#This Row],[Quantity_Sold]]</f>
        <v>23808</v>
      </c>
      <c r="P387">
        <f>sales_data_1[[#This Row],[Unit - cost]]*sales_data_1[[#This Row],[Quantity_Sold]]</f>
        <v>2160.3999999999996</v>
      </c>
    </row>
    <row r="388" spans="1:16" x14ac:dyDescent="0.3">
      <c r="A388">
        <v>1067</v>
      </c>
      <c r="B388" s="1">
        <v>45054</v>
      </c>
      <c r="C388" t="s">
        <v>32</v>
      </c>
      <c r="D388" t="s">
        <v>14</v>
      </c>
      <c r="E388">
        <v>32</v>
      </c>
      <c r="F388" t="s">
        <v>25</v>
      </c>
      <c r="G388">
        <v>2171.79</v>
      </c>
      <c r="H388">
        <v>2307.64</v>
      </c>
      <c r="I388" t="s">
        <v>16</v>
      </c>
      <c r="J388">
        <v>0.22</v>
      </c>
      <c r="K388" t="s">
        <v>26</v>
      </c>
      <c r="L388" t="s">
        <v>18</v>
      </c>
      <c r="M388" t="s">
        <v>52</v>
      </c>
      <c r="N388">
        <f>sales_data_1[[#This Row],[Unit_Price]]-sales_data_1[[#This Row],[Unit_Cost]]</f>
        <v>135.84999999999991</v>
      </c>
      <c r="O388">
        <f>sales_data_1[[#This Row],[Unit_Price]]*sales_data_1[[#This Row],[Quantity_Sold]]</f>
        <v>73844.479999999996</v>
      </c>
      <c r="P388">
        <f>sales_data_1[[#This Row],[Unit - cost]]*sales_data_1[[#This Row],[Quantity_Sold]]</f>
        <v>4347.1999999999971</v>
      </c>
    </row>
    <row r="389" spans="1:16" x14ac:dyDescent="0.3">
      <c r="A389">
        <v>1018</v>
      </c>
      <c r="B389" s="1">
        <v>45150</v>
      </c>
      <c r="C389" t="s">
        <v>32</v>
      </c>
      <c r="D389" t="s">
        <v>14</v>
      </c>
      <c r="E389">
        <v>9</v>
      </c>
      <c r="F389" t="s">
        <v>34</v>
      </c>
      <c r="G389">
        <v>3161.09</v>
      </c>
      <c r="H389">
        <v>3216.42</v>
      </c>
      <c r="I389" t="s">
        <v>29</v>
      </c>
      <c r="J389">
        <v>0.17</v>
      </c>
      <c r="K389" t="s">
        <v>26</v>
      </c>
      <c r="L389" t="s">
        <v>18</v>
      </c>
      <c r="M389" t="s">
        <v>52</v>
      </c>
      <c r="N389">
        <f>sales_data_1[[#This Row],[Unit_Price]]-sales_data_1[[#This Row],[Unit_Cost]]</f>
        <v>55.329999999999927</v>
      </c>
      <c r="O389">
        <f>sales_data_1[[#This Row],[Unit_Price]]*sales_data_1[[#This Row],[Quantity_Sold]]</f>
        <v>28947.78</v>
      </c>
      <c r="P389">
        <f>sales_data_1[[#This Row],[Unit - cost]]*sales_data_1[[#This Row],[Quantity_Sold]]</f>
        <v>497.96999999999935</v>
      </c>
    </row>
    <row r="390" spans="1:16" x14ac:dyDescent="0.3">
      <c r="A390">
        <v>1025</v>
      </c>
      <c r="B390" s="1">
        <v>45135</v>
      </c>
      <c r="C390" t="s">
        <v>23</v>
      </c>
      <c r="D390" t="s">
        <v>20</v>
      </c>
      <c r="E390">
        <v>37</v>
      </c>
      <c r="F390" t="s">
        <v>34</v>
      </c>
      <c r="G390">
        <v>1115.02</v>
      </c>
      <c r="H390">
        <v>1174.48</v>
      </c>
      <c r="I390" t="s">
        <v>29</v>
      </c>
      <c r="J390">
        <v>0.22</v>
      </c>
      <c r="K390" t="s">
        <v>30</v>
      </c>
      <c r="L390" t="s">
        <v>18</v>
      </c>
      <c r="M390" t="s">
        <v>46</v>
      </c>
      <c r="N390">
        <f>sales_data_1[[#This Row],[Unit_Price]]-sales_data_1[[#This Row],[Unit_Cost]]</f>
        <v>59.460000000000036</v>
      </c>
      <c r="O390">
        <f>sales_data_1[[#This Row],[Unit_Price]]*sales_data_1[[#This Row],[Quantity_Sold]]</f>
        <v>43455.76</v>
      </c>
      <c r="P390">
        <f>sales_data_1[[#This Row],[Unit - cost]]*sales_data_1[[#This Row],[Quantity_Sold]]</f>
        <v>2200.0200000000013</v>
      </c>
    </row>
    <row r="391" spans="1:16" x14ac:dyDescent="0.3">
      <c r="A391">
        <v>1095</v>
      </c>
      <c r="B391" s="1">
        <v>45041</v>
      </c>
      <c r="C391" t="s">
        <v>13</v>
      </c>
      <c r="D391" t="s">
        <v>24</v>
      </c>
      <c r="E391">
        <v>10</v>
      </c>
      <c r="F391" t="s">
        <v>34</v>
      </c>
      <c r="G391">
        <v>3155.97</v>
      </c>
      <c r="H391">
        <v>3263.49</v>
      </c>
      <c r="I391" t="s">
        <v>16</v>
      </c>
      <c r="J391">
        <v>0.04</v>
      </c>
      <c r="K391" t="s">
        <v>30</v>
      </c>
      <c r="L391" t="s">
        <v>18</v>
      </c>
      <c r="M391" t="s">
        <v>31</v>
      </c>
      <c r="N391">
        <f>sales_data_1[[#This Row],[Unit_Price]]-sales_data_1[[#This Row],[Unit_Cost]]</f>
        <v>107.51999999999998</v>
      </c>
      <c r="O391">
        <f>sales_data_1[[#This Row],[Unit_Price]]*sales_data_1[[#This Row],[Quantity_Sold]]</f>
        <v>32634.899999999998</v>
      </c>
      <c r="P391">
        <f>sales_data_1[[#This Row],[Unit - cost]]*sales_data_1[[#This Row],[Quantity_Sold]]</f>
        <v>1075.1999999999998</v>
      </c>
    </row>
    <row r="392" spans="1:16" x14ac:dyDescent="0.3">
      <c r="A392">
        <v>1054</v>
      </c>
      <c r="B392" s="1">
        <v>45135</v>
      </c>
      <c r="C392" t="s">
        <v>23</v>
      </c>
      <c r="D392" t="s">
        <v>33</v>
      </c>
      <c r="E392">
        <v>20</v>
      </c>
      <c r="F392" t="s">
        <v>28</v>
      </c>
      <c r="G392">
        <v>4622.1400000000003</v>
      </c>
      <c r="H392">
        <v>5122.0700000000006</v>
      </c>
      <c r="I392" t="s">
        <v>29</v>
      </c>
      <c r="J392">
        <v>0.26</v>
      </c>
      <c r="K392" t="s">
        <v>17</v>
      </c>
      <c r="L392" t="s">
        <v>21</v>
      </c>
      <c r="M392" t="s">
        <v>49</v>
      </c>
      <c r="N392">
        <f>sales_data_1[[#This Row],[Unit_Price]]-sales_data_1[[#This Row],[Unit_Cost]]</f>
        <v>499.93000000000029</v>
      </c>
      <c r="O392">
        <f>sales_data_1[[#This Row],[Unit_Price]]*sales_data_1[[#This Row],[Quantity_Sold]]</f>
        <v>102441.40000000001</v>
      </c>
      <c r="P392">
        <f>sales_data_1[[#This Row],[Unit - cost]]*sales_data_1[[#This Row],[Quantity_Sold]]</f>
        <v>9998.6000000000058</v>
      </c>
    </row>
    <row r="393" spans="1:16" x14ac:dyDescent="0.3">
      <c r="A393">
        <v>1058</v>
      </c>
      <c r="B393" s="1">
        <v>44940</v>
      </c>
      <c r="C393" t="s">
        <v>13</v>
      </c>
      <c r="D393" t="s">
        <v>33</v>
      </c>
      <c r="E393">
        <v>6</v>
      </c>
      <c r="F393" t="s">
        <v>25</v>
      </c>
      <c r="G393">
        <v>4987.71</v>
      </c>
      <c r="H393">
        <v>4998.78</v>
      </c>
      <c r="I393" t="s">
        <v>16</v>
      </c>
      <c r="J393">
        <v>0.17</v>
      </c>
      <c r="K393" t="s">
        <v>17</v>
      </c>
      <c r="L393" t="s">
        <v>21</v>
      </c>
      <c r="M393" t="s">
        <v>45</v>
      </c>
      <c r="N393">
        <f>sales_data_1[[#This Row],[Unit_Price]]-sales_data_1[[#This Row],[Unit_Cost]]</f>
        <v>11.069999999999709</v>
      </c>
      <c r="O393">
        <f>sales_data_1[[#This Row],[Unit_Price]]*sales_data_1[[#This Row],[Quantity_Sold]]</f>
        <v>29992.68</v>
      </c>
      <c r="P393">
        <f>sales_data_1[[#This Row],[Unit - cost]]*sales_data_1[[#This Row],[Quantity_Sold]]</f>
        <v>66.419999999998254</v>
      </c>
    </row>
    <row r="394" spans="1:16" x14ac:dyDescent="0.3">
      <c r="A394">
        <v>1067</v>
      </c>
      <c r="B394" s="1">
        <v>44935</v>
      </c>
      <c r="C394" t="s">
        <v>32</v>
      </c>
      <c r="D394" t="s">
        <v>14</v>
      </c>
      <c r="E394">
        <v>48</v>
      </c>
      <c r="F394" t="s">
        <v>34</v>
      </c>
      <c r="G394">
        <v>210.63</v>
      </c>
      <c r="H394">
        <v>533.57999999999993</v>
      </c>
      <c r="I394" t="s">
        <v>29</v>
      </c>
      <c r="J394">
        <v>0.04</v>
      </c>
      <c r="K394" t="s">
        <v>26</v>
      </c>
      <c r="L394" t="s">
        <v>18</v>
      </c>
      <c r="M394" t="s">
        <v>52</v>
      </c>
      <c r="N394">
        <f>sales_data_1[[#This Row],[Unit_Price]]-sales_data_1[[#This Row],[Unit_Cost]]</f>
        <v>322.94999999999993</v>
      </c>
      <c r="O394">
        <f>sales_data_1[[#This Row],[Unit_Price]]*sales_data_1[[#This Row],[Quantity_Sold]]</f>
        <v>25611.839999999997</v>
      </c>
      <c r="P394">
        <f>sales_data_1[[#This Row],[Unit - cost]]*sales_data_1[[#This Row],[Quantity_Sold]]</f>
        <v>15501.599999999997</v>
      </c>
    </row>
    <row r="395" spans="1:16" x14ac:dyDescent="0.3">
      <c r="A395">
        <v>1046</v>
      </c>
      <c r="B395" s="1">
        <v>44966</v>
      </c>
      <c r="C395" t="s">
        <v>32</v>
      </c>
      <c r="D395" t="s">
        <v>33</v>
      </c>
      <c r="E395">
        <v>3</v>
      </c>
      <c r="F395" t="s">
        <v>15</v>
      </c>
      <c r="G395">
        <v>1216.1600000000001</v>
      </c>
      <c r="H395">
        <v>1295.3700000000001</v>
      </c>
      <c r="I395" t="s">
        <v>29</v>
      </c>
      <c r="J395">
        <v>0.14000000000000001</v>
      </c>
      <c r="K395" t="s">
        <v>17</v>
      </c>
      <c r="L395" t="s">
        <v>21</v>
      </c>
      <c r="M395" t="s">
        <v>35</v>
      </c>
      <c r="N395">
        <f>sales_data_1[[#This Row],[Unit_Price]]-sales_data_1[[#This Row],[Unit_Cost]]</f>
        <v>79.210000000000036</v>
      </c>
      <c r="O395">
        <f>sales_data_1[[#This Row],[Unit_Price]]*sales_data_1[[#This Row],[Quantity_Sold]]</f>
        <v>3886.1100000000006</v>
      </c>
      <c r="P395">
        <f>sales_data_1[[#This Row],[Unit - cost]]*sales_data_1[[#This Row],[Quantity_Sold]]</f>
        <v>237.63000000000011</v>
      </c>
    </row>
    <row r="396" spans="1:16" x14ac:dyDescent="0.3">
      <c r="A396">
        <v>1024</v>
      </c>
      <c r="B396" s="1">
        <v>45163</v>
      </c>
      <c r="C396" t="s">
        <v>23</v>
      </c>
      <c r="D396" t="s">
        <v>24</v>
      </c>
      <c r="E396">
        <v>42</v>
      </c>
      <c r="F396" t="s">
        <v>34</v>
      </c>
      <c r="G396">
        <v>1586.02</v>
      </c>
      <c r="H396">
        <v>2047.13</v>
      </c>
      <c r="I396" t="s">
        <v>29</v>
      </c>
      <c r="J396">
        <v>0.25</v>
      </c>
      <c r="K396" t="s">
        <v>17</v>
      </c>
      <c r="L396" t="s">
        <v>21</v>
      </c>
      <c r="M396" t="s">
        <v>27</v>
      </c>
      <c r="N396">
        <f>sales_data_1[[#This Row],[Unit_Price]]-sales_data_1[[#This Row],[Unit_Cost]]</f>
        <v>461.11000000000013</v>
      </c>
      <c r="O396">
        <f>sales_data_1[[#This Row],[Unit_Price]]*sales_data_1[[#This Row],[Quantity_Sold]]</f>
        <v>85979.46</v>
      </c>
      <c r="P396">
        <f>sales_data_1[[#This Row],[Unit - cost]]*sales_data_1[[#This Row],[Quantity_Sold]]</f>
        <v>19366.620000000006</v>
      </c>
    </row>
    <row r="397" spans="1:16" x14ac:dyDescent="0.3">
      <c r="A397">
        <v>1032</v>
      </c>
      <c r="B397" s="1">
        <v>45207</v>
      </c>
      <c r="C397" t="s">
        <v>37</v>
      </c>
      <c r="D397" t="s">
        <v>33</v>
      </c>
      <c r="E397">
        <v>11</v>
      </c>
      <c r="F397" t="s">
        <v>25</v>
      </c>
      <c r="G397">
        <v>2025.67</v>
      </c>
      <c r="H397">
        <v>2081.5500000000002</v>
      </c>
      <c r="I397" t="s">
        <v>29</v>
      </c>
      <c r="J397">
        <v>0.27</v>
      </c>
      <c r="K397" t="s">
        <v>26</v>
      </c>
      <c r="L397" t="s">
        <v>18</v>
      </c>
      <c r="M397" t="s">
        <v>47</v>
      </c>
      <c r="N397">
        <f>sales_data_1[[#This Row],[Unit_Price]]-sales_data_1[[#This Row],[Unit_Cost]]</f>
        <v>55.880000000000109</v>
      </c>
      <c r="O397">
        <f>sales_data_1[[#This Row],[Unit_Price]]*sales_data_1[[#This Row],[Quantity_Sold]]</f>
        <v>22897.050000000003</v>
      </c>
      <c r="P397">
        <f>sales_data_1[[#This Row],[Unit - cost]]*sales_data_1[[#This Row],[Quantity_Sold]]</f>
        <v>614.6800000000012</v>
      </c>
    </row>
    <row r="398" spans="1:16" x14ac:dyDescent="0.3">
      <c r="A398">
        <v>1047</v>
      </c>
      <c r="B398" s="1">
        <v>45285</v>
      </c>
      <c r="C398" t="s">
        <v>23</v>
      </c>
      <c r="D398" t="s">
        <v>14</v>
      </c>
      <c r="E398">
        <v>43</v>
      </c>
      <c r="F398" t="s">
        <v>34</v>
      </c>
      <c r="G398">
        <v>1249.17</v>
      </c>
      <c r="H398">
        <v>1727.15</v>
      </c>
      <c r="I398" t="s">
        <v>29</v>
      </c>
      <c r="J398">
        <v>0.08</v>
      </c>
      <c r="K398" t="s">
        <v>17</v>
      </c>
      <c r="L398" t="s">
        <v>21</v>
      </c>
      <c r="M398" t="s">
        <v>44</v>
      </c>
      <c r="N398">
        <f>sales_data_1[[#This Row],[Unit_Price]]-sales_data_1[[#This Row],[Unit_Cost]]</f>
        <v>477.98</v>
      </c>
      <c r="O398">
        <f>sales_data_1[[#This Row],[Unit_Price]]*sales_data_1[[#This Row],[Quantity_Sold]]</f>
        <v>74267.45</v>
      </c>
      <c r="P398">
        <f>sales_data_1[[#This Row],[Unit - cost]]*sales_data_1[[#This Row],[Quantity_Sold]]</f>
        <v>20553.14</v>
      </c>
    </row>
    <row r="399" spans="1:16" x14ac:dyDescent="0.3">
      <c r="A399">
        <v>1086</v>
      </c>
      <c r="B399" s="1">
        <v>45127</v>
      </c>
      <c r="C399" t="s">
        <v>13</v>
      </c>
      <c r="D399" t="s">
        <v>14</v>
      </c>
      <c r="E399">
        <v>17</v>
      </c>
      <c r="F399" t="s">
        <v>25</v>
      </c>
      <c r="G399">
        <v>1057.27</v>
      </c>
      <c r="H399">
        <v>1366.62</v>
      </c>
      <c r="I399" t="s">
        <v>29</v>
      </c>
      <c r="J399">
        <v>0.21</v>
      </c>
      <c r="K399" t="s">
        <v>30</v>
      </c>
      <c r="L399" t="s">
        <v>21</v>
      </c>
      <c r="M399" t="s">
        <v>19</v>
      </c>
      <c r="N399">
        <f>sales_data_1[[#This Row],[Unit_Price]]-sales_data_1[[#This Row],[Unit_Cost]]</f>
        <v>309.34999999999991</v>
      </c>
      <c r="O399">
        <f>sales_data_1[[#This Row],[Unit_Price]]*sales_data_1[[#This Row],[Quantity_Sold]]</f>
        <v>23232.539999999997</v>
      </c>
      <c r="P399">
        <f>sales_data_1[[#This Row],[Unit - cost]]*sales_data_1[[#This Row],[Quantity_Sold]]</f>
        <v>5258.9499999999989</v>
      </c>
    </row>
    <row r="400" spans="1:16" x14ac:dyDescent="0.3">
      <c r="A400">
        <v>1023</v>
      </c>
      <c r="B400" s="1">
        <v>45172</v>
      </c>
      <c r="C400" t="s">
        <v>23</v>
      </c>
      <c r="D400" t="s">
        <v>24</v>
      </c>
      <c r="E400">
        <v>32</v>
      </c>
      <c r="F400" t="s">
        <v>34</v>
      </c>
      <c r="G400">
        <v>4775.04</v>
      </c>
      <c r="H400">
        <v>4785.66</v>
      </c>
      <c r="I400" t="s">
        <v>29</v>
      </c>
      <c r="J400">
        <v>0.03</v>
      </c>
      <c r="K400" t="s">
        <v>17</v>
      </c>
      <c r="L400" t="s">
        <v>18</v>
      </c>
      <c r="M400" t="s">
        <v>27</v>
      </c>
      <c r="N400">
        <f>sales_data_1[[#This Row],[Unit_Price]]-sales_data_1[[#This Row],[Unit_Cost]]</f>
        <v>10.619999999999891</v>
      </c>
      <c r="O400">
        <f>sales_data_1[[#This Row],[Unit_Price]]*sales_data_1[[#This Row],[Quantity_Sold]]</f>
        <v>153141.12</v>
      </c>
      <c r="P400">
        <f>sales_data_1[[#This Row],[Unit - cost]]*sales_data_1[[#This Row],[Quantity_Sold]]</f>
        <v>339.83999999999651</v>
      </c>
    </row>
    <row r="401" spans="1:16" x14ac:dyDescent="0.3">
      <c r="A401">
        <v>1066</v>
      </c>
      <c r="B401" s="1">
        <v>45204</v>
      </c>
      <c r="C401" t="s">
        <v>41</v>
      </c>
      <c r="D401" t="s">
        <v>24</v>
      </c>
      <c r="E401">
        <v>4</v>
      </c>
      <c r="F401" t="s">
        <v>15</v>
      </c>
      <c r="G401">
        <v>4596.68</v>
      </c>
      <c r="H401">
        <v>5044.7400000000007</v>
      </c>
      <c r="I401" t="s">
        <v>29</v>
      </c>
      <c r="J401">
        <v>0.01</v>
      </c>
      <c r="K401" t="s">
        <v>26</v>
      </c>
      <c r="L401" t="s">
        <v>18</v>
      </c>
      <c r="M401" t="s">
        <v>42</v>
      </c>
      <c r="N401">
        <f>sales_data_1[[#This Row],[Unit_Price]]-sales_data_1[[#This Row],[Unit_Cost]]</f>
        <v>448.0600000000004</v>
      </c>
      <c r="O401">
        <f>sales_data_1[[#This Row],[Unit_Price]]*sales_data_1[[#This Row],[Quantity_Sold]]</f>
        <v>20178.960000000003</v>
      </c>
      <c r="P401">
        <f>sales_data_1[[#This Row],[Unit - cost]]*sales_data_1[[#This Row],[Quantity_Sold]]</f>
        <v>1792.2400000000016</v>
      </c>
    </row>
    <row r="402" spans="1:16" x14ac:dyDescent="0.3">
      <c r="A402">
        <v>1027</v>
      </c>
      <c r="B402" s="1">
        <v>45161</v>
      </c>
      <c r="C402" t="s">
        <v>13</v>
      </c>
      <c r="D402" t="s">
        <v>33</v>
      </c>
      <c r="E402">
        <v>4</v>
      </c>
      <c r="F402" t="s">
        <v>34</v>
      </c>
      <c r="G402">
        <v>282.61</v>
      </c>
      <c r="H402">
        <v>548.25</v>
      </c>
      <c r="I402" t="s">
        <v>29</v>
      </c>
      <c r="J402">
        <v>0.17</v>
      </c>
      <c r="K402" t="s">
        <v>30</v>
      </c>
      <c r="L402" t="s">
        <v>18</v>
      </c>
      <c r="M402" t="s">
        <v>45</v>
      </c>
      <c r="N402">
        <f>sales_data_1[[#This Row],[Unit_Price]]-sales_data_1[[#This Row],[Unit_Cost]]</f>
        <v>265.64</v>
      </c>
      <c r="O402">
        <f>sales_data_1[[#This Row],[Unit_Price]]*sales_data_1[[#This Row],[Quantity_Sold]]</f>
        <v>2193</v>
      </c>
      <c r="P402">
        <f>sales_data_1[[#This Row],[Unit - cost]]*sales_data_1[[#This Row],[Quantity_Sold]]</f>
        <v>1062.56</v>
      </c>
    </row>
    <row r="403" spans="1:16" x14ac:dyDescent="0.3">
      <c r="A403">
        <v>1002</v>
      </c>
      <c r="B403" s="1">
        <v>44930</v>
      </c>
      <c r="C403" t="s">
        <v>13</v>
      </c>
      <c r="D403" t="s">
        <v>33</v>
      </c>
      <c r="E403">
        <v>17</v>
      </c>
      <c r="F403" t="s">
        <v>15</v>
      </c>
      <c r="G403">
        <v>1727.12</v>
      </c>
      <c r="H403">
        <v>1865.83</v>
      </c>
      <c r="I403" t="s">
        <v>29</v>
      </c>
      <c r="J403">
        <v>0.21</v>
      </c>
      <c r="K403" t="s">
        <v>17</v>
      </c>
      <c r="L403" t="s">
        <v>18</v>
      </c>
      <c r="M403" t="s">
        <v>45</v>
      </c>
      <c r="N403">
        <f>sales_data_1[[#This Row],[Unit_Price]]-sales_data_1[[#This Row],[Unit_Cost]]</f>
        <v>138.71000000000004</v>
      </c>
      <c r="O403">
        <f>sales_data_1[[#This Row],[Unit_Price]]*sales_data_1[[#This Row],[Quantity_Sold]]</f>
        <v>31719.11</v>
      </c>
      <c r="P403">
        <f>sales_data_1[[#This Row],[Unit - cost]]*sales_data_1[[#This Row],[Quantity_Sold]]</f>
        <v>2358.0700000000006</v>
      </c>
    </row>
    <row r="404" spans="1:16" x14ac:dyDescent="0.3">
      <c r="A404">
        <v>1090</v>
      </c>
      <c r="B404" s="1">
        <v>45080</v>
      </c>
      <c r="C404" t="s">
        <v>37</v>
      </c>
      <c r="D404" t="s">
        <v>14</v>
      </c>
      <c r="E404">
        <v>41</v>
      </c>
      <c r="F404" t="s">
        <v>15</v>
      </c>
      <c r="G404">
        <v>2055.4899999999998</v>
      </c>
      <c r="H404">
        <v>2441.46</v>
      </c>
      <c r="I404" t="s">
        <v>29</v>
      </c>
      <c r="J404">
        <v>0.24</v>
      </c>
      <c r="K404" t="s">
        <v>30</v>
      </c>
      <c r="L404" t="s">
        <v>18</v>
      </c>
      <c r="M404" t="s">
        <v>39</v>
      </c>
      <c r="N404">
        <f>sales_data_1[[#This Row],[Unit_Price]]-sales_data_1[[#This Row],[Unit_Cost]]</f>
        <v>385.97000000000025</v>
      </c>
      <c r="O404">
        <f>sales_data_1[[#This Row],[Unit_Price]]*sales_data_1[[#This Row],[Quantity_Sold]]</f>
        <v>100099.86</v>
      </c>
      <c r="P404">
        <f>sales_data_1[[#This Row],[Unit - cost]]*sales_data_1[[#This Row],[Quantity_Sold]]</f>
        <v>15824.770000000011</v>
      </c>
    </row>
    <row r="405" spans="1:16" x14ac:dyDescent="0.3">
      <c r="A405">
        <v>1017</v>
      </c>
      <c r="B405" s="1">
        <v>44955</v>
      </c>
      <c r="C405" t="s">
        <v>32</v>
      </c>
      <c r="D405" t="s">
        <v>24</v>
      </c>
      <c r="E405">
        <v>19</v>
      </c>
      <c r="F405" t="s">
        <v>34</v>
      </c>
      <c r="G405">
        <v>1233.1199999999999</v>
      </c>
      <c r="H405">
        <v>1697.1899999999998</v>
      </c>
      <c r="I405" t="s">
        <v>29</v>
      </c>
      <c r="J405">
        <v>0.1</v>
      </c>
      <c r="K405" t="s">
        <v>30</v>
      </c>
      <c r="L405" t="s">
        <v>18</v>
      </c>
      <c r="M405" t="s">
        <v>43</v>
      </c>
      <c r="N405">
        <f>sales_data_1[[#This Row],[Unit_Price]]-sales_data_1[[#This Row],[Unit_Cost]]</f>
        <v>464.06999999999994</v>
      </c>
      <c r="O405">
        <f>sales_data_1[[#This Row],[Unit_Price]]*sales_data_1[[#This Row],[Quantity_Sold]]</f>
        <v>32246.609999999997</v>
      </c>
      <c r="P405">
        <f>sales_data_1[[#This Row],[Unit - cost]]*sales_data_1[[#This Row],[Quantity_Sold]]</f>
        <v>8817.3299999999981</v>
      </c>
    </row>
    <row r="406" spans="1:16" x14ac:dyDescent="0.3">
      <c r="A406">
        <v>1033</v>
      </c>
      <c r="B406" s="1">
        <v>45035</v>
      </c>
      <c r="C406" t="s">
        <v>13</v>
      </c>
      <c r="D406" t="s">
        <v>24</v>
      </c>
      <c r="E406">
        <v>5</v>
      </c>
      <c r="F406" t="s">
        <v>15</v>
      </c>
      <c r="G406">
        <v>3162.92</v>
      </c>
      <c r="H406">
        <v>3409.9300000000003</v>
      </c>
      <c r="I406" t="s">
        <v>29</v>
      </c>
      <c r="J406">
        <v>0</v>
      </c>
      <c r="K406" t="s">
        <v>17</v>
      </c>
      <c r="L406" t="s">
        <v>18</v>
      </c>
      <c r="M406" t="s">
        <v>31</v>
      </c>
      <c r="N406">
        <f>sales_data_1[[#This Row],[Unit_Price]]-sales_data_1[[#This Row],[Unit_Cost]]</f>
        <v>247.01000000000022</v>
      </c>
      <c r="O406">
        <f>sales_data_1[[#This Row],[Unit_Price]]*sales_data_1[[#This Row],[Quantity_Sold]]</f>
        <v>17049.650000000001</v>
      </c>
      <c r="P406">
        <f>sales_data_1[[#This Row],[Unit - cost]]*sales_data_1[[#This Row],[Quantity_Sold]]</f>
        <v>1235.0500000000011</v>
      </c>
    </row>
    <row r="407" spans="1:16" x14ac:dyDescent="0.3">
      <c r="A407">
        <v>1009</v>
      </c>
      <c r="B407" s="1">
        <v>45024</v>
      </c>
      <c r="C407" t="s">
        <v>32</v>
      </c>
      <c r="D407" t="s">
        <v>24</v>
      </c>
      <c r="E407">
        <v>32</v>
      </c>
      <c r="F407" t="s">
        <v>28</v>
      </c>
      <c r="G407">
        <v>3219.88</v>
      </c>
      <c r="H407">
        <v>3384.5</v>
      </c>
      <c r="I407" t="s">
        <v>16</v>
      </c>
      <c r="J407">
        <v>0.14000000000000001</v>
      </c>
      <c r="K407" t="s">
        <v>17</v>
      </c>
      <c r="L407" t="s">
        <v>21</v>
      </c>
      <c r="M407" t="s">
        <v>43</v>
      </c>
      <c r="N407">
        <f>sales_data_1[[#This Row],[Unit_Price]]-sales_data_1[[#This Row],[Unit_Cost]]</f>
        <v>164.61999999999989</v>
      </c>
      <c r="O407">
        <f>sales_data_1[[#This Row],[Unit_Price]]*sales_data_1[[#This Row],[Quantity_Sold]]</f>
        <v>108304</v>
      </c>
      <c r="P407">
        <f>sales_data_1[[#This Row],[Unit - cost]]*sales_data_1[[#This Row],[Quantity_Sold]]</f>
        <v>5267.8399999999965</v>
      </c>
    </row>
    <row r="408" spans="1:16" x14ac:dyDescent="0.3">
      <c r="A408">
        <v>1043</v>
      </c>
      <c r="B408" s="1">
        <v>45141</v>
      </c>
      <c r="C408" t="s">
        <v>23</v>
      </c>
      <c r="D408" t="s">
        <v>33</v>
      </c>
      <c r="E408">
        <v>22</v>
      </c>
      <c r="F408" t="s">
        <v>34</v>
      </c>
      <c r="G408">
        <v>4260</v>
      </c>
      <c r="H408">
        <v>4656.58</v>
      </c>
      <c r="I408" t="s">
        <v>29</v>
      </c>
      <c r="J408">
        <v>0</v>
      </c>
      <c r="K408" t="s">
        <v>26</v>
      </c>
      <c r="L408" t="s">
        <v>18</v>
      </c>
      <c r="M408" t="s">
        <v>49</v>
      </c>
      <c r="N408">
        <f>sales_data_1[[#This Row],[Unit_Price]]-sales_data_1[[#This Row],[Unit_Cost]]</f>
        <v>396.57999999999993</v>
      </c>
      <c r="O408">
        <f>sales_data_1[[#This Row],[Unit_Price]]*sales_data_1[[#This Row],[Quantity_Sold]]</f>
        <v>102444.76</v>
      </c>
      <c r="P408">
        <f>sales_data_1[[#This Row],[Unit - cost]]*sales_data_1[[#This Row],[Quantity_Sold]]</f>
        <v>8724.7599999999984</v>
      </c>
    </row>
    <row r="409" spans="1:16" x14ac:dyDescent="0.3">
      <c r="A409">
        <v>1048</v>
      </c>
      <c r="B409" s="1">
        <v>45219</v>
      </c>
      <c r="C409" t="s">
        <v>41</v>
      </c>
      <c r="D409" t="s">
        <v>24</v>
      </c>
      <c r="E409">
        <v>6</v>
      </c>
      <c r="F409" t="s">
        <v>34</v>
      </c>
      <c r="G409">
        <v>3717.3</v>
      </c>
      <c r="H409">
        <v>4061.3700000000003</v>
      </c>
      <c r="I409" t="s">
        <v>29</v>
      </c>
      <c r="J409">
        <v>0.03</v>
      </c>
      <c r="K409" t="s">
        <v>26</v>
      </c>
      <c r="L409" t="s">
        <v>21</v>
      </c>
      <c r="M409" t="s">
        <v>42</v>
      </c>
      <c r="N409">
        <f>sales_data_1[[#This Row],[Unit_Price]]-sales_data_1[[#This Row],[Unit_Cost]]</f>
        <v>344.07000000000016</v>
      </c>
      <c r="O409">
        <f>sales_data_1[[#This Row],[Unit_Price]]*sales_data_1[[#This Row],[Quantity_Sold]]</f>
        <v>24368.22</v>
      </c>
      <c r="P409">
        <f>sales_data_1[[#This Row],[Unit - cost]]*sales_data_1[[#This Row],[Quantity_Sold]]</f>
        <v>2064.420000000001</v>
      </c>
    </row>
    <row r="410" spans="1:16" x14ac:dyDescent="0.3">
      <c r="A410">
        <v>1039</v>
      </c>
      <c r="B410" s="1">
        <v>45001</v>
      </c>
      <c r="C410" t="s">
        <v>37</v>
      </c>
      <c r="D410" t="s">
        <v>14</v>
      </c>
      <c r="E410">
        <v>35</v>
      </c>
      <c r="F410" t="s">
        <v>15</v>
      </c>
      <c r="G410">
        <v>2735.74</v>
      </c>
      <c r="H410">
        <v>3181.2299999999996</v>
      </c>
      <c r="I410" t="s">
        <v>29</v>
      </c>
      <c r="J410">
        <v>0.1</v>
      </c>
      <c r="K410" t="s">
        <v>30</v>
      </c>
      <c r="L410" t="s">
        <v>21</v>
      </c>
      <c r="M410" t="s">
        <v>39</v>
      </c>
      <c r="N410">
        <f>sales_data_1[[#This Row],[Unit_Price]]-sales_data_1[[#This Row],[Unit_Cost]]</f>
        <v>445.48999999999978</v>
      </c>
      <c r="O410">
        <f>sales_data_1[[#This Row],[Unit_Price]]*sales_data_1[[#This Row],[Quantity_Sold]]</f>
        <v>111343.04999999999</v>
      </c>
      <c r="P410">
        <f>sales_data_1[[#This Row],[Unit - cost]]*sales_data_1[[#This Row],[Quantity_Sold]]</f>
        <v>15592.149999999992</v>
      </c>
    </row>
    <row r="411" spans="1:16" x14ac:dyDescent="0.3">
      <c r="A411">
        <v>1093</v>
      </c>
      <c r="B411" s="1">
        <v>45252</v>
      </c>
      <c r="C411" t="s">
        <v>32</v>
      </c>
      <c r="D411" t="s">
        <v>14</v>
      </c>
      <c r="E411">
        <v>22</v>
      </c>
      <c r="F411" t="s">
        <v>15</v>
      </c>
      <c r="G411">
        <v>3285.25</v>
      </c>
      <c r="H411">
        <v>3634.58</v>
      </c>
      <c r="I411" t="s">
        <v>29</v>
      </c>
      <c r="J411">
        <v>0.13</v>
      </c>
      <c r="K411" t="s">
        <v>26</v>
      </c>
      <c r="L411" t="s">
        <v>18</v>
      </c>
      <c r="M411" t="s">
        <v>52</v>
      </c>
      <c r="N411">
        <f>sales_data_1[[#This Row],[Unit_Price]]-sales_data_1[[#This Row],[Unit_Cost]]</f>
        <v>349.32999999999993</v>
      </c>
      <c r="O411">
        <f>sales_data_1[[#This Row],[Unit_Price]]*sales_data_1[[#This Row],[Quantity_Sold]]</f>
        <v>79960.759999999995</v>
      </c>
      <c r="P411">
        <f>sales_data_1[[#This Row],[Unit - cost]]*sales_data_1[[#This Row],[Quantity_Sold]]</f>
        <v>7685.2599999999984</v>
      </c>
    </row>
    <row r="412" spans="1:16" x14ac:dyDescent="0.3">
      <c r="A412">
        <v>1042</v>
      </c>
      <c r="B412" s="1">
        <v>45072</v>
      </c>
      <c r="C412" t="s">
        <v>13</v>
      </c>
      <c r="D412" t="s">
        <v>33</v>
      </c>
      <c r="E412">
        <v>1</v>
      </c>
      <c r="F412" t="s">
        <v>34</v>
      </c>
      <c r="G412">
        <v>1406.24</v>
      </c>
      <c r="H412">
        <v>1535.57</v>
      </c>
      <c r="I412" t="s">
        <v>29</v>
      </c>
      <c r="J412">
        <v>0.08</v>
      </c>
      <c r="K412" t="s">
        <v>30</v>
      </c>
      <c r="L412" t="s">
        <v>21</v>
      </c>
      <c r="M412" t="s">
        <v>45</v>
      </c>
      <c r="N412">
        <f>sales_data_1[[#This Row],[Unit_Price]]-sales_data_1[[#This Row],[Unit_Cost]]</f>
        <v>129.32999999999993</v>
      </c>
      <c r="O412">
        <f>sales_data_1[[#This Row],[Unit_Price]]*sales_data_1[[#This Row],[Quantity_Sold]]</f>
        <v>1535.57</v>
      </c>
      <c r="P412">
        <f>sales_data_1[[#This Row],[Unit - cost]]*sales_data_1[[#This Row],[Quantity_Sold]]</f>
        <v>129.32999999999993</v>
      </c>
    </row>
    <row r="413" spans="1:16" x14ac:dyDescent="0.3">
      <c r="A413">
        <v>1026</v>
      </c>
      <c r="B413" s="1">
        <v>45054</v>
      </c>
      <c r="C413" t="s">
        <v>32</v>
      </c>
      <c r="D413" t="s">
        <v>20</v>
      </c>
      <c r="E413">
        <v>20</v>
      </c>
      <c r="F413" t="s">
        <v>28</v>
      </c>
      <c r="G413">
        <v>2985.63</v>
      </c>
      <c r="H413">
        <v>3452.1400000000003</v>
      </c>
      <c r="I413" t="s">
        <v>29</v>
      </c>
      <c r="J413">
        <v>0.17</v>
      </c>
      <c r="K413" t="s">
        <v>30</v>
      </c>
      <c r="L413" t="s">
        <v>21</v>
      </c>
      <c r="M413" t="s">
        <v>36</v>
      </c>
      <c r="N413">
        <f>sales_data_1[[#This Row],[Unit_Price]]-sales_data_1[[#This Row],[Unit_Cost]]</f>
        <v>466.51000000000022</v>
      </c>
      <c r="O413">
        <f>sales_data_1[[#This Row],[Unit_Price]]*sales_data_1[[#This Row],[Quantity_Sold]]</f>
        <v>69042.8</v>
      </c>
      <c r="P413">
        <f>sales_data_1[[#This Row],[Unit - cost]]*sales_data_1[[#This Row],[Quantity_Sold]]</f>
        <v>9330.2000000000044</v>
      </c>
    </row>
    <row r="414" spans="1:16" x14ac:dyDescent="0.3">
      <c r="A414">
        <v>1099</v>
      </c>
      <c r="B414" s="1">
        <v>45267</v>
      </c>
      <c r="C414" t="s">
        <v>13</v>
      </c>
      <c r="D414" t="s">
        <v>33</v>
      </c>
      <c r="E414">
        <v>22</v>
      </c>
      <c r="F414" t="s">
        <v>15</v>
      </c>
      <c r="G414">
        <v>2471.67</v>
      </c>
      <c r="H414">
        <v>2533.04</v>
      </c>
      <c r="I414" t="s">
        <v>16</v>
      </c>
      <c r="J414">
        <v>0.02</v>
      </c>
      <c r="K414" t="s">
        <v>26</v>
      </c>
      <c r="L414" t="s">
        <v>21</v>
      </c>
      <c r="M414" t="s">
        <v>45</v>
      </c>
      <c r="N414">
        <f>sales_data_1[[#This Row],[Unit_Price]]-sales_data_1[[#This Row],[Unit_Cost]]</f>
        <v>61.369999999999891</v>
      </c>
      <c r="O414">
        <f>sales_data_1[[#This Row],[Unit_Price]]*sales_data_1[[#This Row],[Quantity_Sold]]</f>
        <v>55726.879999999997</v>
      </c>
      <c r="P414">
        <f>sales_data_1[[#This Row],[Unit - cost]]*sales_data_1[[#This Row],[Quantity_Sold]]</f>
        <v>1350.1399999999976</v>
      </c>
    </row>
    <row r="415" spans="1:16" x14ac:dyDescent="0.3">
      <c r="A415">
        <v>1050</v>
      </c>
      <c r="B415" s="1">
        <v>44968</v>
      </c>
      <c r="C415" t="s">
        <v>32</v>
      </c>
      <c r="D415" t="s">
        <v>20</v>
      </c>
      <c r="E415">
        <v>48</v>
      </c>
      <c r="F415" t="s">
        <v>15</v>
      </c>
      <c r="G415">
        <v>710.06</v>
      </c>
      <c r="H415">
        <v>851.34999999999991</v>
      </c>
      <c r="I415" t="s">
        <v>16</v>
      </c>
      <c r="J415">
        <v>0.04</v>
      </c>
      <c r="K415" t="s">
        <v>26</v>
      </c>
      <c r="L415" t="s">
        <v>18</v>
      </c>
      <c r="M415" t="s">
        <v>36</v>
      </c>
      <c r="N415">
        <f>sales_data_1[[#This Row],[Unit_Price]]-sales_data_1[[#This Row],[Unit_Cost]]</f>
        <v>141.28999999999996</v>
      </c>
      <c r="O415">
        <f>sales_data_1[[#This Row],[Unit_Price]]*sales_data_1[[#This Row],[Quantity_Sold]]</f>
        <v>40864.799999999996</v>
      </c>
      <c r="P415">
        <f>sales_data_1[[#This Row],[Unit - cost]]*sales_data_1[[#This Row],[Quantity_Sold]]</f>
        <v>6781.9199999999983</v>
      </c>
    </row>
    <row r="416" spans="1:16" x14ac:dyDescent="0.3">
      <c r="A416">
        <v>1025</v>
      </c>
      <c r="B416" s="1">
        <v>45282</v>
      </c>
      <c r="C416" t="s">
        <v>13</v>
      </c>
      <c r="D416" t="s">
        <v>24</v>
      </c>
      <c r="E416">
        <v>11</v>
      </c>
      <c r="F416" t="s">
        <v>25</v>
      </c>
      <c r="G416">
        <v>1250.5899999999999</v>
      </c>
      <c r="H416">
        <v>1515.4899999999998</v>
      </c>
      <c r="I416" t="s">
        <v>16</v>
      </c>
      <c r="J416">
        <v>0.21</v>
      </c>
      <c r="K416" t="s">
        <v>26</v>
      </c>
      <c r="L416" t="s">
        <v>21</v>
      </c>
      <c r="M416" t="s">
        <v>31</v>
      </c>
      <c r="N416">
        <f>sales_data_1[[#This Row],[Unit_Price]]-sales_data_1[[#This Row],[Unit_Cost]]</f>
        <v>264.89999999999986</v>
      </c>
      <c r="O416">
        <f>sales_data_1[[#This Row],[Unit_Price]]*sales_data_1[[#This Row],[Quantity_Sold]]</f>
        <v>16670.39</v>
      </c>
      <c r="P416">
        <f>sales_data_1[[#This Row],[Unit - cost]]*sales_data_1[[#This Row],[Quantity_Sold]]</f>
        <v>2913.8999999999987</v>
      </c>
    </row>
    <row r="417" spans="1:16" x14ac:dyDescent="0.3">
      <c r="A417">
        <v>1024</v>
      </c>
      <c r="B417" s="1">
        <v>44967</v>
      </c>
      <c r="C417" t="s">
        <v>23</v>
      </c>
      <c r="D417" t="s">
        <v>33</v>
      </c>
      <c r="E417">
        <v>13</v>
      </c>
      <c r="F417" t="s">
        <v>28</v>
      </c>
      <c r="G417">
        <v>1493.88</v>
      </c>
      <c r="H417">
        <v>1781.0900000000001</v>
      </c>
      <c r="I417" t="s">
        <v>29</v>
      </c>
      <c r="J417">
        <v>0.04</v>
      </c>
      <c r="K417" t="s">
        <v>17</v>
      </c>
      <c r="L417" t="s">
        <v>21</v>
      </c>
      <c r="M417" t="s">
        <v>49</v>
      </c>
      <c r="N417">
        <f>sales_data_1[[#This Row],[Unit_Price]]-sales_data_1[[#This Row],[Unit_Cost]]</f>
        <v>287.21000000000004</v>
      </c>
      <c r="O417">
        <f>sales_data_1[[#This Row],[Unit_Price]]*sales_data_1[[#This Row],[Quantity_Sold]]</f>
        <v>23154.170000000002</v>
      </c>
      <c r="P417">
        <f>sales_data_1[[#This Row],[Unit - cost]]*sales_data_1[[#This Row],[Quantity_Sold]]</f>
        <v>3733.7300000000005</v>
      </c>
    </row>
    <row r="418" spans="1:16" x14ac:dyDescent="0.3">
      <c r="A418">
        <v>1013</v>
      </c>
      <c r="B418" s="1">
        <v>44960</v>
      </c>
      <c r="C418" t="s">
        <v>13</v>
      </c>
      <c r="D418" t="s">
        <v>14</v>
      </c>
      <c r="E418">
        <v>42</v>
      </c>
      <c r="F418" t="s">
        <v>28</v>
      </c>
      <c r="G418">
        <v>4625.33</v>
      </c>
      <c r="H418">
        <v>4642.83</v>
      </c>
      <c r="I418" t="s">
        <v>29</v>
      </c>
      <c r="J418">
        <v>0.19</v>
      </c>
      <c r="K418" t="s">
        <v>30</v>
      </c>
      <c r="L418" t="s">
        <v>18</v>
      </c>
      <c r="M418" t="s">
        <v>19</v>
      </c>
      <c r="N418">
        <f>sales_data_1[[#This Row],[Unit_Price]]-sales_data_1[[#This Row],[Unit_Cost]]</f>
        <v>17.5</v>
      </c>
      <c r="O418">
        <f>sales_data_1[[#This Row],[Unit_Price]]*sales_data_1[[#This Row],[Quantity_Sold]]</f>
        <v>194998.86</v>
      </c>
      <c r="P418">
        <f>sales_data_1[[#This Row],[Unit - cost]]*sales_data_1[[#This Row],[Quantity_Sold]]</f>
        <v>735</v>
      </c>
    </row>
    <row r="419" spans="1:16" x14ac:dyDescent="0.3">
      <c r="A419">
        <v>1060</v>
      </c>
      <c r="B419" s="1">
        <v>44943</v>
      </c>
      <c r="C419" t="s">
        <v>13</v>
      </c>
      <c r="D419" t="s">
        <v>24</v>
      </c>
      <c r="E419">
        <v>3</v>
      </c>
      <c r="F419" t="s">
        <v>34</v>
      </c>
      <c r="G419">
        <v>1190.4100000000001</v>
      </c>
      <c r="H419">
        <v>1582.89</v>
      </c>
      <c r="I419" t="s">
        <v>29</v>
      </c>
      <c r="J419">
        <v>0.02</v>
      </c>
      <c r="K419" t="s">
        <v>30</v>
      </c>
      <c r="L419" t="s">
        <v>21</v>
      </c>
      <c r="M419" t="s">
        <v>31</v>
      </c>
      <c r="N419">
        <f>sales_data_1[[#This Row],[Unit_Price]]-sales_data_1[[#This Row],[Unit_Cost]]</f>
        <v>392.48</v>
      </c>
      <c r="O419">
        <f>sales_data_1[[#This Row],[Unit_Price]]*sales_data_1[[#This Row],[Quantity_Sold]]</f>
        <v>4748.67</v>
      </c>
      <c r="P419">
        <f>sales_data_1[[#This Row],[Unit - cost]]*sales_data_1[[#This Row],[Quantity_Sold]]</f>
        <v>1177.44</v>
      </c>
    </row>
    <row r="420" spans="1:16" x14ac:dyDescent="0.3">
      <c r="A420">
        <v>1007</v>
      </c>
      <c r="B420" s="1">
        <v>45091</v>
      </c>
      <c r="C420" t="s">
        <v>41</v>
      </c>
      <c r="D420" t="s">
        <v>14</v>
      </c>
      <c r="E420">
        <v>9</v>
      </c>
      <c r="F420" t="s">
        <v>28</v>
      </c>
      <c r="G420">
        <v>1481.76</v>
      </c>
      <c r="H420">
        <v>1668.95</v>
      </c>
      <c r="I420" t="s">
        <v>16</v>
      </c>
      <c r="J420">
        <v>0.12</v>
      </c>
      <c r="K420" t="s">
        <v>30</v>
      </c>
      <c r="L420" t="s">
        <v>21</v>
      </c>
      <c r="M420" t="s">
        <v>48</v>
      </c>
      <c r="N420">
        <f>sales_data_1[[#This Row],[Unit_Price]]-sales_data_1[[#This Row],[Unit_Cost]]</f>
        <v>187.19000000000005</v>
      </c>
      <c r="O420">
        <f>sales_data_1[[#This Row],[Unit_Price]]*sales_data_1[[#This Row],[Quantity_Sold]]</f>
        <v>15020.550000000001</v>
      </c>
      <c r="P420">
        <f>sales_data_1[[#This Row],[Unit - cost]]*sales_data_1[[#This Row],[Quantity_Sold]]</f>
        <v>1684.7100000000005</v>
      </c>
    </row>
    <row r="421" spans="1:16" x14ac:dyDescent="0.3">
      <c r="A421">
        <v>1057</v>
      </c>
      <c r="B421" s="1">
        <v>45079</v>
      </c>
      <c r="C421" t="s">
        <v>13</v>
      </c>
      <c r="D421" t="s">
        <v>24</v>
      </c>
      <c r="E421">
        <v>12</v>
      </c>
      <c r="F421" t="s">
        <v>34</v>
      </c>
      <c r="G421">
        <v>1878.3</v>
      </c>
      <c r="H421">
        <v>2087.4499999999998</v>
      </c>
      <c r="I421" t="s">
        <v>29</v>
      </c>
      <c r="J421">
        <v>0.05</v>
      </c>
      <c r="K421" t="s">
        <v>26</v>
      </c>
      <c r="L421" t="s">
        <v>21</v>
      </c>
      <c r="M421" t="s">
        <v>31</v>
      </c>
      <c r="N421">
        <f>sales_data_1[[#This Row],[Unit_Price]]-sales_data_1[[#This Row],[Unit_Cost]]</f>
        <v>209.14999999999986</v>
      </c>
      <c r="O421">
        <f>sales_data_1[[#This Row],[Unit_Price]]*sales_data_1[[#This Row],[Quantity_Sold]]</f>
        <v>25049.399999999998</v>
      </c>
      <c r="P421">
        <f>sales_data_1[[#This Row],[Unit - cost]]*sales_data_1[[#This Row],[Quantity_Sold]]</f>
        <v>2509.7999999999984</v>
      </c>
    </row>
    <row r="422" spans="1:16" x14ac:dyDescent="0.3">
      <c r="A422">
        <v>1036</v>
      </c>
      <c r="B422" s="1">
        <v>45002</v>
      </c>
      <c r="C422" t="s">
        <v>41</v>
      </c>
      <c r="D422" t="s">
        <v>33</v>
      </c>
      <c r="E422">
        <v>23</v>
      </c>
      <c r="F422" t="s">
        <v>25</v>
      </c>
      <c r="G422">
        <v>3335.53</v>
      </c>
      <c r="H422">
        <v>3742.1200000000003</v>
      </c>
      <c r="I422" t="s">
        <v>29</v>
      </c>
      <c r="J422">
        <v>0.03</v>
      </c>
      <c r="K422" t="s">
        <v>26</v>
      </c>
      <c r="L422" t="s">
        <v>21</v>
      </c>
      <c r="M422" t="s">
        <v>51</v>
      </c>
      <c r="N422">
        <f>sales_data_1[[#This Row],[Unit_Price]]-sales_data_1[[#This Row],[Unit_Cost]]</f>
        <v>406.59000000000015</v>
      </c>
      <c r="O422">
        <f>sales_data_1[[#This Row],[Unit_Price]]*sales_data_1[[#This Row],[Quantity_Sold]]</f>
        <v>86068.760000000009</v>
      </c>
      <c r="P422">
        <f>sales_data_1[[#This Row],[Unit - cost]]*sales_data_1[[#This Row],[Quantity_Sold]]</f>
        <v>9351.5700000000033</v>
      </c>
    </row>
    <row r="423" spans="1:16" x14ac:dyDescent="0.3">
      <c r="A423">
        <v>1045</v>
      </c>
      <c r="B423" s="1">
        <v>45013</v>
      </c>
      <c r="C423" t="s">
        <v>37</v>
      </c>
      <c r="D423" t="s">
        <v>20</v>
      </c>
      <c r="E423">
        <v>14</v>
      </c>
      <c r="F423" t="s">
        <v>28</v>
      </c>
      <c r="G423">
        <v>635.28</v>
      </c>
      <c r="H423">
        <v>831.13</v>
      </c>
      <c r="I423" t="s">
        <v>16</v>
      </c>
      <c r="J423">
        <v>0.17</v>
      </c>
      <c r="K423" t="s">
        <v>26</v>
      </c>
      <c r="L423" t="s">
        <v>21</v>
      </c>
      <c r="M423" t="s">
        <v>40</v>
      </c>
      <c r="N423">
        <f>sales_data_1[[#This Row],[Unit_Price]]-sales_data_1[[#This Row],[Unit_Cost]]</f>
        <v>195.85000000000002</v>
      </c>
      <c r="O423">
        <f>sales_data_1[[#This Row],[Unit_Price]]*sales_data_1[[#This Row],[Quantity_Sold]]</f>
        <v>11635.82</v>
      </c>
      <c r="P423">
        <f>sales_data_1[[#This Row],[Unit - cost]]*sales_data_1[[#This Row],[Quantity_Sold]]</f>
        <v>2741.9000000000005</v>
      </c>
    </row>
    <row r="424" spans="1:16" x14ac:dyDescent="0.3">
      <c r="A424">
        <v>1020</v>
      </c>
      <c r="B424" s="1">
        <v>45043</v>
      </c>
      <c r="C424" t="s">
        <v>41</v>
      </c>
      <c r="D424" t="s">
        <v>24</v>
      </c>
      <c r="E424">
        <v>33</v>
      </c>
      <c r="F424" t="s">
        <v>15</v>
      </c>
      <c r="G424">
        <v>4772.03</v>
      </c>
      <c r="H424">
        <v>4805.17</v>
      </c>
      <c r="I424" t="s">
        <v>16</v>
      </c>
      <c r="J424">
        <v>0.28000000000000003</v>
      </c>
      <c r="K424" t="s">
        <v>26</v>
      </c>
      <c r="L424" t="s">
        <v>18</v>
      </c>
      <c r="M424" t="s">
        <v>42</v>
      </c>
      <c r="N424">
        <f>sales_data_1[[#This Row],[Unit_Price]]-sales_data_1[[#This Row],[Unit_Cost]]</f>
        <v>33.140000000000327</v>
      </c>
      <c r="O424">
        <f>sales_data_1[[#This Row],[Unit_Price]]*sales_data_1[[#This Row],[Quantity_Sold]]</f>
        <v>158570.61000000002</v>
      </c>
      <c r="P424">
        <f>sales_data_1[[#This Row],[Unit - cost]]*sales_data_1[[#This Row],[Quantity_Sold]]</f>
        <v>1093.6200000000108</v>
      </c>
    </row>
    <row r="425" spans="1:16" x14ac:dyDescent="0.3">
      <c r="A425">
        <v>1065</v>
      </c>
      <c r="B425" s="1">
        <v>45288</v>
      </c>
      <c r="C425" t="s">
        <v>23</v>
      </c>
      <c r="D425" t="s">
        <v>20</v>
      </c>
      <c r="E425">
        <v>18</v>
      </c>
      <c r="F425" t="s">
        <v>25</v>
      </c>
      <c r="G425">
        <v>4334.58</v>
      </c>
      <c r="H425">
        <v>4431.04</v>
      </c>
      <c r="I425" t="s">
        <v>29</v>
      </c>
      <c r="J425">
        <v>0.02</v>
      </c>
      <c r="K425" t="s">
        <v>26</v>
      </c>
      <c r="L425" t="s">
        <v>21</v>
      </c>
      <c r="M425" t="s">
        <v>46</v>
      </c>
      <c r="N425">
        <f>sales_data_1[[#This Row],[Unit_Price]]-sales_data_1[[#This Row],[Unit_Cost]]</f>
        <v>96.460000000000036</v>
      </c>
      <c r="O425">
        <f>sales_data_1[[#This Row],[Unit_Price]]*sales_data_1[[#This Row],[Quantity_Sold]]</f>
        <v>79758.720000000001</v>
      </c>
      <c r="P425">
        <f>sales_data_1[[#This Row],[Unit - cost]]*sales_data_1[[#This Row],[Quantity_Sold]]</f>
        <v>1736.2800000000007</v>
      </c>
    </row>
    <row r="426" spans="1:16" x14ac:dyDescent="0.3">
      <c r="A426">
        <v>1008</v>
      </c>
      <c r="B426" s="1">
        <v>45268</v>
      </c>
      <c r="C426" t="s">
        <v>41</v>
      </c>
      <c r="D426" t="s">
        <v>24</v>
      </c>
      <c r="E426">
        <v>49</v>
      </c>
      <c r="F426" t="s">
        <v>34</v>
      </c>
      <c r="G426">
        <v>2907.22</v>
      </c>
      <c r="H426">
        <v>3385.6099999999997</v>
      </c>
      <c r="I426" t="s">
        <v>29</v>
      </c>
      <c r="J426">
        <v>0.13</v>
      </c>
      <c r="K426" t="s">
        <v>17</v>
      </c>
      <c r="L426" t="s">
        <v>18</v>
      </c>
      <c r="M426" t="s">
        <v>42</v>
      </c>
      <c r="N426">
        <f>sales_data_1[[#This Row],[Unit_Price]]-sales_data_1[[#This Row],[Unit_Cost]]</f>
        <v>478.38999999999987</v>
      </c>
      <c r="O426">
        <f>sales_data_1[[#This Row],[Unit_Price]]*sales_data_1[[#This Row],[Quantity_Sold]]</f>
        <v>165894.88999999998</v>
      </c>
      <c r="P426">
        <f>sales_data_1[[#This Row],[Unit - cost]]*sales_data_1[[#This Row],[Quantity_Sold]]</f>
        <v>23441.109999999993</v>
      </c>
    </row>
    <row r="427" spans="1:16" x14ac:dyDescent="0.3">
      <c r="A427">
        <v>1016</v>
      </c>
      <c r="B427" s="1">
        <v>44953</v>
      </c>
      <c r="C427" t="s">
        <v>37</v>
      </c>
      <c r="D427" t="s">
        <v>14</v>
      </c>
      <c r="E427">
        <v>41</v>
      </c>
      <c r="F427" t="s">
        <v>25</v>
      </c>
      <c r="G427">
        <v>3386.49</v>
      </c>
      <c r="H427">
        <v>3430.99</v>
      </c>
      <c r="I427" t="s">
        <v>29</v>
      </c>
      <c r="J427">
        <v>0.21</v>
      </c>
      <c r="K427" t="s">
        <v>26</v>
      </c>
      <c r="L427" t="s">
        <v>21</v>
      </c>
      <c r="M427" t="s">
        <v>39</v>
      </c>
      <c r="N427">
        <f>sales_data_1[[#This Row],[Unit_Price]]-sales_data_1[[#This Row],[Unit_Cost]]</f>
        <v>44.5</v>
      </c>
      <c r="O427">
        <f>sales_data_1[[#This Row],[Unit_Price]]*sales_data_1[[#This Row],[Quantity_Sold]]</f>
        <v>140670.59</v>
      </c>
      <c r="P427">
        <f>sales_data_1[[#This Row],[Unit - cost]]*sales_data_1[[#This Row],[Quantity_Sold]]</f>
        <v>1824.5</v>
      </c>
    </row>
    <row r="428" spans="1:16" x14ac:dyDescent="0.3">
      <c r="A428">
        <v>1014</v>
      </c>
      <c r="B428" s="1">
        <v>45239</v>
      </c>
      <c r="C428" t="s">
        <v>23</v>
      </c>
      <c r="D428" t="s">
        <v>14</v>
      </c>
      <c r="E428">
        <v>9</v>
      </c>
      <c r="F428" t="s">
        <v>34</v>
      </c>
      <c r="G428">
        <v>132.47</v>
      </c>
      <c r="H428">
        <v>316.39</v>
      </c>
      <c r="I428" t="s">
        <v>29</v>
      </c>
      <c r="J428">
        <v>0.14000000000000001</v>
      </c>
      <c r="K428" t="s">
        <v>30</v>
      </c>
      <c r="L428" t="s">
        <v>18</v>
      </c>
      <c r="M428" t="s">
        <v>44</v>
      </c>
      <c r="N428">
        <f>sales_data_1[[#This Row],[Unit_Price]]-sales_data_1[[#This Row],[Unit_Cost]]</f>
        <v>183.92</v>
      </c>
      <c r="O428">
        <f>sales_data_1[[#This Row],[Unit_Price]]*sales_data_1[[#This Row],[Quantity_Sold]]</f>
        <v>2847.5099999999998</v>
      </c>
      <c r="P428">
        <f>sales_data_1[[#This Row],[Unit - cost]]*sales_data_1[[#This Row],[Quantity_Sold]]</f>
        <v>1655.28</v>
      </c>
    </row>
    <row r="429" spans="1:16" x14ac:dyDescent="0.3">
      <c r="A429">
        <v>1076</v>
      </c>
      <c r="B429" s="1">
        <v>45213</v>
      </c>
      <c r="C429" t="s">
        <v>32</v>
      </c>
      <c r="D429" t="s">
        <v>24</v>
      </c>
      <c r="E429">
        <v>23</v>
      </c>
      <c r="F429" t="s">
        <v>25</v>
      </c>
      <c r="G429">
        <v>1727.78</v>
      </c>
      <c r="H429">
        <v>1984.34</v>
      </c>
      <c r="I429" t="s">
        <v>16</v>
      </c>
      <c r="J429">
        <v>0.24</v>
      </c>
      <c r="K429" t="s">
        <v>26</v>
      </c>
      <c r="L429" t="s">
        <v>18</v>
      </c>
      <c r="M429" t="s">
        <v>43</v>
      </c>
      <c r="N429">
        <f>sales_data_1[[#This Row],[Unit_Price]]-sales_data_1[[#This Row],[Unit_Cost]]</f>
        <v>256.55999999999995</v>
      </c>
      <c r="O429">
        <f>sales_data_1[[#This Row],[Unit_Price]]*sales_data_1[[#This Row],[Quantity_Sold]]</f>
        <v>45639.82</v>
      </c>
      <c r="P429">
        <f>sales_data_1[[#This Row],[Unit - cost]]*sales_data_1[[#This Row],[Quantity_Sold]]</f>
        <v>5900.8799999999992</v>
      </c>
    </row>
    <row r="430" spans="1:16" x14ac:dyDescent="0.3">
      <c r="A430">
        <v>1087</v>
      </c>
      <c r="B430" s="1">
        <v>45060</v>
      </c>
      <c r="C430" t="s">
        <v>32</v>
      </c>
      <c r="D430" t="s">
        <v>20</v>
      </c>
      <c r="E430">
        <v>10</v>
      </c>
      <c r="F430" t="s">
        <v>34</v>
      </c>
      <c r="G430">
        <v>3988.52</v>
      </c>
      <c r="H430">
        <v>4240.2299999999996</v>
      </c>
      <c r="I430" t="s">
        <v>29</v>
      </c>
      <c r="J430">
        <v>0.05</v>
      </c>
      <c r="K430" t="s">
        <v>30</v>
      </c>
      <c r="L430" t="s">
        <v>18</v>
      </c>
      <c r="M430" t="s">
        <v>36</v>
      </c>
      <c r="N430">
        <f>sales_data_1[[#This Row],[Unit_Price]]-sales_data_1[[#This Row],[Unit_Cost]]</f>
        <v>251.70999999999958</v>
      </c>
      <c r="O430">
        <f>sales_data_1[[#This Row],[Unit_Price]]*sales_data_1[[#This Row],[Quantity_Sold]]</f>
        <v>42402.299999999996</v>
      </c>
      <c r="P430">
        <f>sales_data_1[[#This Row],[Unit - cost]]*sales_data_1[[#This Row],[Quantity_Sold]]</f>
        <v>2517.0999999999958</v>
      </c>
    </row>
    <row r="431" spans="1:16" x14ac:dyDescent="0.3">
      <c r="A431">
        <v>1015</v>
      </c>
      <c r="B431" s="1">
        <v>45145</v>
      </c>
      <c r="C431" t="s">
        <v>41</v>
      </c>
      <c r="D431" t="s">
        <v>33</v>
      </c>
      <c r="E431">
        <v>19</v>
      </c>
      <c r="F431" t="s">
        <v>28</v>
      </c>
      <c r="G431">
        <v>433.54</v>
      </c>
      <c r="H431">
        <v>445.48</v>
      </c>
      <c r="I431" t="s">
        <v>29</v>
      </c>
      <c r="J431">
        <v>0.28999999999999998</v>
      </c>
      <c r="K431" t="s">
        <v>26</v>
      </c>
      <c r="L431" t="s">
        <v>21</v>
      </c>
      <c r="M431" t="s">
        <v>51</v>
      </c>
      <c r="N431">
        <f>sales_data_1[[#This Row],[Unit_Price]]-sales_data_1[[#This Row],[Unit_Cost]]</f>
        <v>11.939999999999998</v>
      </c>
      <c r="O431">
        <f>sales_data_1[[#This Row],[Unit_Price]]*sales_data_1[[#This Row],[Quantity_Sold]]</f>
        <v>8464.1200000000008</v>
      </c>
      <c r="P431">
        <f>sales_data_1[[#This Row],[Unit - cost]]*sales_data_1[[#This Row],[Quantity_Sold]]</f>
        <v>226.85999999999996</v>
      </c>
    </row>
    <row r="432" spans="1:16" x14ac:dyDescent="0.3">
      <c r="A432">
        <v>1092</v>
      </c>
      <c r="B432" s="1">
        <v>45094</v>
      </c>
      <c r="C432" t="s">
        <v>41</v>
      </c>
      <c r="D432" t="s">
        <v>33</v>
      </c>
      <c r="E432">
        <v>47</v>
      </c>
      <c r="F432" t="s">
        <v>15</v>
      </c>
      <c r="G432">
        <v>1447.45</v>
      </c>
      <c r="H432">
        <v>1703.02</v>
      </c>
      <c r="I432" t="s">
        <v>16</v>
      </c>
      <c r="J432">
        <v>0.12</v>
      </c>
      <c r="K432" t="s">
        <v>26</v>
      </c>
      <c r="L432" t="s">
        <v>21</v>
      </c>
      <c r="M432" t="s">
        <v>51</v>
      </c>
      <c r="N432">
        <f>sales_data_1[[#This Row],[Unit_Price]]-sales_data_1[[#This Row],[Unit_Cost]]</f>
        <v>255.56999999999994</v>
      </c>
      <c r="O432">
        <f>sales_data_1[[#This Row],[Unit_Price]]*sales_data_1[[#This Row],[Quantity_Sold]]</f>
        <v>80041.94</v>
      </c>
      <c r="P432">
        <f>sales_data_1[[#This Row],[Unit - cost]]*sales_data_1[[#This Row],[Quantity_Sold]]</f>
        <v>12011.789999999997</v>
      </c>
    </row>
    <row r="433" spans="1:16" x14ac:dyDescent="0.3">
      <c r="A433">
        <v>1098</v>
      </c>
      <c r="B433" s="1">
        <v>45024</v>
      </c>
      <c r="C433" t="s">
        <v>37</v>
      </c>
      <c r="D433" t="s">
        <v>14</v>
      </c>
      <c r="E433">
        <v>5</v>
      </c>
      <c r="F433" t="s">
        <v>34</v>
      </c>
      <c r="G433">
        <v>2947.22</v>
      </c>
      <c r="H433">
        <v>3145.27</v>
      </c>
      <c r="I433" t="s">
        <v>29</v>
      </c>
      <c r="J433">
        <v>0.1</v>
      </c>
      <c r="K433" t="s">
        <v>30</v>
      </c>
      <c r="L433" t="s">
        <v>21</v>
      </c>
      <c r="M433" t="s">
        <v>39</v>
      </c>
      <c r="N433">
        <f>sales_data_1[[#This Row],[Unit_Price]]-sales_data_1[[#This Row],[Unit_Cost]]</f>
        <v>198.05000000000018</v>
      </c>
      <c r="O433">
        <f>sales_data_1[[#This Row],[Unit_Price]]*sales_data_1[[#This Row],[Quantity_Sold]]</f>
        <v>15726.35</v>
      </c>
      <c r="P433">
        <f>sales_data_1[[#This Row],[Unit - cost]]*sales_data_1[[#This Row],[Quantity_Sold]]</f>
        <v>990.25000000000091</v>
      </c>
    </row>
    <row r="434" spans="1:16" x14ac:dyDescent="0.3">
      <c r="A434">
        <v>1066</v>
      </c>
      <c r="B434" s="1">
        <v>45194</v>
      </c>
      <c r="C434" t="s">
        <v>37</v>
      </c>
      <c r="D434" t="s">
        <v>33</v>
      </c>
      <c r="E434">
        <v>47</v>
      </c>
      <c r="F434" t="s">
        <v>25</v>
      </c>
      <c r="G434">
        <v>1319.24</v>
      </c>
      <c r="H434">
        <v>1805.56</v>
      </c>
      <c r="I434" t="s">
        <v>29</v>
      </c>
      <c r="J434">
        <v>0.26</v>
      </c>
      <c r="K434" t="s">
        <v>30</v>
      </c>
      <c r="L434" t="s">
        <v>21</v>
      </c>
      <c r="M434" t="s">
        <v>47</v>
      </c>
      <c r="N434">
        <f>sales_data_1[[#This Row],[Unit_Price]]-sales_data_1[[#This Row],[Unit_Cost]]</f>
        <v>486.31999999999994</v>
      </c>
      <c r="O434">
        <f>sales_data_1[[#This Row],[Unit_Price]]*sales_data_1[[#This Row],[Quantity_Sold]]</f>
        <v>84861.319999999992</v>
      </c>
      <c r="P434">
        <f>sales_data_1[[#This Row],[Unit - cost]]*sales_data_1[[#This Row],[Quantity_Sold]]</f>
        <v>22857.039999999997</v>
      </c>
    </row>
    <row r="435" spans="1:16" x14ac:dyDescent="0.3">
      <c r="A435">
        <v>1032</v>
      </c>
      <c r="B435" s="1">
        <v>45163</v>
      </c>
      <c r="C435" t="s">
        <v>13</v>
      </c>
      <c r="D435" t="s">
        <v>14</v>
      </c>
      <c r="E435">
        <v>23</v>
      </c>
      <c r="F435" t="s">
        <v>34</v>
      </c>
      <c r="G435">
        <v>4673.1899999999996</v>
      </c>
      <c r="H435">
        <v>4761.1799999999994</v>
      </c>
      <c r="I435" t="s">
        <v>16</v>
      </c>
      <c r="J435">
        <v>0.17</v>
      </c>
      <c r="K435" t="s">
        <v>30</v>
      </c>
      <c r="L435" t="s">
        <v>21</v>
      </c>
      <c r="M435" t="s">
        <v>19</v>
      </c>
      <c r="N435">
        <f>sales_data_1[[#This Row],[Unit_Price]]-sales_data_1[[#This Row],[Unit_Cost]]</f>
        <v>87.989999999999782</v>
      </c>
      <c r="O435">
        <f>sales_data_1[[#This Row],[Unit_Price]]*sales_data_1[[#This Row],[Quantity_Sold]]</f>
        <v>109507.13999999998</v>
      </c>
      <c r="P435">
        <f>sales_data_1[[#This Row],[Unit - cost]]*sales_data_1[[#This Row],[Quantity_Sold]]</f>
        <v>2023.769999999995</v>
      </c>
    </row>
    <row r="436" spans="1:16" x14ac:dyDescent="0.3">
      <c r="A436">
        <v>1087</v>
      </c>
      <c r="B436" s="1">
        <v>45235</v>
      </c>
      <c r="C436" t="s">
        <v>37</v>
      </c>
      <c r="D436" t="s">
        <v>33</v>
      </c>
      <c r="E436">
        <v>30</v>
      </c>
      <c r="F436" t="s">
        <v>34</v>
      </c>
      <c r="G436">
        <v>698.74</v>
      </c>
      <c r="H436">
        <v>882.28</v>
      </c>
      <c r="I436" t="s">
        <v>16</v>
      </c>
      <c r="J436">
        <v>0.15</v>
      </c>
      <c r="K436" t="s">
        <v>30</v>
      </c>
      <c r="L436" t="s">
        <v>18</v>
      </c>
      <c r="M436" t="s">
        <v>47</v>
      </c>
      <c r="N436">
        <f>sales_data_1[[#This Row],[Unit_Price]]-sales_data_1[[#This Row],[Unit_Cost]]</f>
        <v>183.53999999999996</v>
      </c>
      <c r="O436">
        <f>sales_data_1[[#This Row],[Unit_Price]]*sales_data_1[[#This Row],[Quantity_Sold]]</f>
        <v>26468.399999999998</v>
      </c>
      <c r="P436">
        <f>sales_data_1[[#This Row],[Unit - cost]]*sales_data_1[[#This Row],[Quantity_Sold]]</f>
        <v>5506.1999999999989</v>
      </c>
    </row>
    <row r="437" spans="1:16" x14ac:dyDescent="0.3">
      <c r="A437">
        <v>1063</v>
      </c>
      <c r="B437" s="1">
        <v>45099</v>
      </c>
      <c r="C437" t="s">
        <v>13</v>
      </c>
      <c r="D437" t="s">
        <v>24</v>
      </c>
      <c r="E437">
        <v>25</v>
      </c>
      <c r="F437" t="s">
        <v>34</v>
      </c>
      <c r="G437">
        <v>3997.1</v>
      </c>
      <c r="H437">
        <v>4212.6499999999996</v>
      </c>
      <c r="I437" t="s">
        <v>29</v>
      </c>
      <c r="J437">
        <v>0.22</v>
      </c>
      <c r="K437" t="s">
        <v>17</v>
      </c>
      <c r="L437" t="s">
        <v>18</v>
      </c>
      <c r="M437" t="s">
        <v>31</v>
      </c>
      <c r="N437">
        <f>sales_data_1[[#This Row],[Unit_Price]]-sales_data_1[[#This Row],[Unit_Cost]]</f>
        <v>215.54999999999973</v>
      </c>
      <c r="O437">
        <f>sales_data_1[[#This Row],[Unit_Price]]*sales_data_1[[#This Row],[Quantity_Sold]]</f>
        <v>105316.24999999999</v>
      </c>
      <c r="P437">
        <f>sales_data_1[[#This Row],[Unit - cost]]*sales_data_1[[#This Row],[Quantity_Sold]]</f>
        <v>5388.7499999999927</v>
      </c>
    </row>
    <row r="438" spans="1:16" x14ac:dyDescent="0.3">
      <c r="A438">
        <v>1086</v>
      </c>
      <c r="B438" s="1">
        <v>45116</v>
      </c>
      <c r="C438" t="s">
        <v>23</v>
      </c>
      <c r="D438" t="s">
        <v>14</v>
      </c>
      <c r="E438">
        <v>28</v>
      </c>
      <c r="F438" t="s">
        <v>25</v>
      </c>
      <c r="G438">
        <v>2564.35</v>
      </c>
      <c r="H438">
        <v>2765.79</v>
      </c>
      <c r="I438" t="s">
        <v>16</v>
      </c>
      <c r="J438">
        <v>0.17</v>
      </c>
      <c r="K438" t="s">
        <v>30</v>
      </c>
      <c r="L438" t="s">
        <v>18</v>
      </c>
      <c r="M438" t="s">
        <v>44</v>
      </c>
      <c r="N438">
        <f>sales_data_1[[#This Row],[Unit_Price]]-sales_data_1[[#This Row],[Unit_Cost]]</f>
        <v>201.44000000000005</v>
      </c>
      <c r="O438">
        <f>sales_data_1[[#This Row],[Unit_Price]]*sales_data_1[[#This Row],[Quantity_Sold]]</f>
        <v>77442.12</v>
      </c>
      <c r="P438">
        <f>sales_data_1[[#This Row],[Unit - cost]]*sales_data_1[[#This Row],[Quantity_Sold]]</f>
        <v>5640.3200000000015</v>
      </c>
    </row>
    <row r="439" spans="1:16" x14ac:dyDescent="0.3">
      <c r="A439">
        <v>1051</v>
      </c>
      <c r="B439" s="1">
        <v>45048</v>
      </c>
      <c r="C439" t="s">
        <v>41</v>
      </c>
      <c r="D439" t="s">
        <v>14</v>
      </c>
      <c r="E439">
        <v>34</v>
      </c>
      <c r="F439" t="s">
        <v>15</v>
      </c>
      <c r="G439">
        <v>3764.14</v>
      </c>
      <c r="H439">
        <v>4100.3999999999996</v>
      </c>
      <c r="I439" t="s">
        <v>16</v>
      </c>
      <c r="J439">
        <v>0.05</v>
      </c>
      <c r="K439" t="s">
        <v>26</v>
      </c>
      <c r="L439" t="s">
        <v>21</v>
      </c>
      <c r="M439" t="s">
        <v>48</v>
      </c>
      <c r="N439">
        <f>sales_data_1[[#This Row],[Unit_Price]]-sales_data_1[[#This Row],[Unit_Cost]]</f>
        <v>336.25999999999976</v>
      </c>
      <c r="O439">
        <f>sales_data_1[[#This Row],[Unit_Price]]*sales_data_1[[#This Row],[Quantity_Sold]]</f>
        <v>139413.59999999998</v>
      </c>
      <c r="P439">
        <f>sales_data_1[[#This Row],[Unit - cost]]*sales_data_1[[#This Row],[Quantity_Sold]]</f>
        <v>11432.839999999993</v>
      </c>
    </row>
    <row r="440" spans="1:16" x14ac:dyDescent="0.3">
      <c r="A440">
        <v>1025</v>
      </c>
      <c r="B440" s="1">
        <v>44972</v>
      </c>
      <c r="C440" t="s">
        <v>23</v>
      </c>
      <c r="D440" t="s">
        <v>24</v>
      </c>
      <c r="E440">
        <v>45</v>
      </c>
      <c r="F440" t="s">
        <v>28</v>
      </c>
      <c r="G440">
        <v>1588.04</v>
      </c>
      <c r="H440">
        <v>1703.6399999999999</v>
      </c>
      <c r="I440" t="s">
        <v>29</v>
      </c>
      <c r="J440">
        <v>0.2</v>
      </c>
      <c r="K440" t="s">
        <v>26</v>
      </c>
      <c r="L440" t="s">
        <v>21</v>
      </c>
      <c r="M440" t="s">
        <v>27</v>
      </c>
      <c r="N440">
        <f>sales_data_1[[#This Row],[Unit_Price]]-sales_data_1[[#This Row],[Unit_Cost]]</f>
        <v>115.59999999999991</v>
      </c>
      <c r="O440">
        <f>sales_data_1[[#This Row],[Unit_Price]]*sales_data_1[[#This Row],[Quantity_Sold]]</f>
        <v>76663.799999999988</v>
      </c>
      <c r="P440">
        <f>sales_data_1[[#This Row],[Unit - cost]]*sales_data_1[[#This Row],[Quantity_Sold]]</f>
        <v>5201.9999999999964</v>
      </c>
    </row>
    <row r="441" spans="1:16" x14ac:dyDescent="0.3">
      <c r="A441">
        <v>1058</v>
      </c>
      <c r="B441" s="1">
        <v>44990</v>
      </c>
      <c r="C441" t="s">
        <v>37</v>
      </c>
      <c r="D441" t="s">
        <v>14</v>
      </c>
      <c r="E441">
        <v>48</v>
      </c>
      <c r="F441" t="s">
        <v>15</v>
      </c>
      <c r="G441">
        <v>2596.7199999999998</v>
      </c>
      <c r="H441">
        <v>2715.0499999999997</v>
      </c>
      <c r="I441" t="s">
        <v>16</v>
      </c>
      <c r="J441">
        <v>0.04</v>
      </c>
      <c r="K441" t="s">
        <v>17</v>
      </c>
      <c r="L441" t="s">
        <v>18</v>
      </c>
      <c r="M441" t="s">
        <v>39</v>
      </c>
      <c r="N441">
        <f>sales_data_1[[#This Row],[Unit_Price]]-sales_data_1[[#This Row],[Unit_Cost]]</f>
        <v>118.32999999999993</v>
      </c>
      <c r="O441">
        <f>sales_data_1[[#This Row],[Unit_Price]]*sales_data_1[[#This Row],[Quantity_Sold]]</f>
        <v>130322.4</v>
      </c>
      <c r="P441">
        <f>sales_data_1[[#This Row],[Unit - cost]]*sales_data_1[[#This Row],[Quantity_Sold]]</f>
        <v>5679.8399999999965</v>
      </c>
    </row>
    <row r="442" spans="1:16" x14ac:dyDescent="0.3">
      <c r="A442">
        <v>1063</v>
      </c>
      <c r="B442" s="1">
        <v>45056</v>
      </c>
      <c r="C442" t="s">
        <v>23</v>
      </c>
      <c r="D442" t="s">
        <v>33</v>
      </c>
      <c r="E442">
        <v>47</v>
      </c>
      <c r="F442" t="s">
        <v>34</v>
      </c>
      <c r="G442">
        <v>4291.33</v>
      </c>
      <c r="H442">
        <v>4658.6400000000003</v>
      </c>
      <c r="I442" t="s">
        <v>29</v>
      </c>
      <c r="J442">
        <v>0.24</v>
      </c>
      <c r="K442" t="s">
        <v>30</v>
      </c>
      <c r="L442" t="s">
        <v>21</v>
      </c>
      <c r="M442" t="s">
        <v>49</v>
      </c>
      <c r="N442">
        <f>sales_data_1[[#This Row],[Unit_Price]]-sales_data_1[[#This Row],[Unit_Cost]]</f>
        <v>367.3100000000004</v>
      </c>
      <c r="O442">
        <f>sales_data_1[[#This Row],[Unit_Price]]*sales_data_1[[#This Row],[Quantity_Sold]]</f>
        <v>218956.08000000002</v>
      </c>
      <c r="P442">
        <f>sales_data_1[[#This Row],[Unit - cost]]*sales_data_1[[#This Row],[Quantity_Sold]]</f>
        <v>17263.570000000018</v>
      </c>
    </row>
    <row r="443" spans="1:16" x14ac:dyDescent="0.3">
      <c r="A443">
        <v>1062</v>
      </c>
      <c r="B443" s="1">
        <v>45236</v>
      </c>
      <c r="C443" t="s">
        <v>23</v>
      </c>
      <c r="D443" t="s">
        <v>33</v>
      </c>
      <c r="E443">
        <v>25</v>
      </c>
      <c r="F443" t="s">
        <v>25</v>
      </c>
      <c r="G443">
        <v>2361.0500000000002</v>
      </c>
      <c r="H443">
        <v>2616.19</v>
      </c>
      <c r="I443" t="s">
        <v>29</v>
      </c>
      <c r="J443">
        <v>0.3</v>
      </c>
      <c r="K443" t="s">
        <v>26</v>
      </c>
      <c r="L443" t="s">
        <v>21</v>
      </c>
      <c r="M443" t="s">
        <v>49</v>
      </c>
      <c r="N443">
        <f>sales_data_1[[#This Row],[Unit_Price]]-sales_data_1[[#This Row],[Unit_Cost]]</f>
        <v>255.13999999999987</v>
      </c>
      <c r="O443">
        <f>sales_data_1[[#This Row],[Unit_Price]]*sales_data_1[[#This Row],[Quantity_Sold]]</f>
        <v>65404.75</v>
      </c>
      <c r="P443">
        <f>sales_data_1[[#This Row],[Unit - cost]]*sales_data_1[[#This Row],[Quantity_Sold]]</f>
        <v>6378.4999999999964</v>
      </c>
    </row>
    <row r="444" spans="1:16" x14ac:dyDescent="0.3">
      <c r="A444">
        <v>1022</v>
      </c>
      <c r="B444" s="1">
        <v>45289</v>
      </c>
      <c r="C444" t="s">
        <v>23</v>
      </c>
      <c r="D444" t="s">
        <v>14</v>
      </c>
      <c r="E444">
        <v>10</v>
      </c>
      <c r="F444" t="s">
        <v>15</v>
      </c>
      <c r="G444">
        <v>1830.61</v>
      </c>
      <c r="H444">
        <v>2044.04</v>
      </c>
      <c r="I444" t="s">
        <v>29</v>
      </c>
      <c r="J444">
        <v>0.11</v>
      </c>
      <c r="K444" t="s">
        <v>17</v>
      </c>
      <c r="L444" t="s">
        <v>18</v>
      </c>
      <c r="M444" t="s">
        <v>44</v>
      </c>
      <c r="N444">
        <f>sales_data_1[[#This Row],[Unit_Price]]-sales_data_1[[#This Row],[Unit_Cost]]</f>
        <v>213.43000000000006</v>
      </c>
      <c r="O444">
        <f>sales_data_1[[#This Row],[Unit_Price]]*sales_data_1[[#This Row],[Quantity_Sold]]</f>
        <v>20440.400000000001</v>
      </c>
      <c r="P444">
        <f>sales_data_1[[#This Row],[Unit - cost]]*sales_data_1[[#This Row],[Quantity_Sold]]</f>
        <v>2134.3000000000006</v>
      </c>
    </row>
    <row r="445" spans="1:16" x14ac:dyDescent="0.3">
      <c r="A445">
        <v>1058</v>
      </c>
      <c r="B445" s="1">
        <v>45119</v>
      </c>
      <c r="C445" t="s">
        <v>37</v>
      </c>
      <c r="D445" t="s">
        <v>33</v>
      </c>
      <c r="E445">
        <v>14</v>
      </c>
      <c r="F445" t="s">
        <v>34</v>
      </c>
      <c r="G445">
        <v>2703.97</v>
      </c>
      <c r="H445">
        <v>2796.8799999999997</v>
      </c>
      <c r="I445" t="s">
        <v>29</v>
      </c>
      <c r="J445">
        <v>0.13</v>
      </c>
      <c r="K445" t="s">
        <v>26</v>
      </c>
      <c r="L445" t="s">
        <v>18</v>
      </c>
      <c r="M445" t="s">
        <v>47</v>
      </c>
      <c r="N445">
        <f>sales_data_1[[#This Row],[Unit_Price]]-sales_data_1[[#This Row],[Unit_Cost]]</f>
        <v>92.909999999999854</v>
      </c>
      <c r="O445">
        <f>sales_data_1[[#This Row],[Unit_Price]]*sales_data_1[[#This Row],[Quantity_Sold]]</f>
        <v>39156.319999999992</v>
      </c>
      <c r="P445">
        <f>sales_data_1[[#This Row],[Unit - cost]]*sales_data_1[[#This Row],[Quantity_Sold]]</f>
        <v>1300.739999999998</v>
      </c>
    </row>
    <row r="446" spans="1:16" x14ac:dyDescent="0.3">
      <c r="A446">
        <v>1058</v>
      </c>
      <c r="B446" s="1">
        <v>45233</v>
      </c>
      <c r="C446" t="s">
        <v>23</v>
      </c>
      <c r="D446" t="s">
        <v>20</v>
      </c>
      <c r="E446">
        <v>42</v>
      </c>
      <c r="F446" t="s">
        <v>28</v>
      </c>
      <c r="G446">
        <v>3600.95</v>
      </c>
      <c r="H446">
        <v>3702.8399999999997</v>
      </c>
      <c r="I446" t="s">
        <v>16</v>
      </c>
      <c r="J446">
        <v>0.01</v>
      </c>
      <c r="K446" t="s">
        <v>17</v>
      </c>
      <c r="L446" t="s">
        <v>21</v>
      </c>
      <c r="M446" t="s">
        <v>46</v>
      </c>
      <c r="N446">
        <f>sales_data_1[[#This Row],[Unit_Price]]-sales_data_1[[#This Row],[Unit_Cost]]</f>
        <v>101.88999999999987</v>
      </c>
      <c r="O446">
        <f>sales_data_1[[#This Row],[Unit_Price]]*sales_data_1[[#This Row],[Quantity_Sold]]</f>
        <v>155519.28</v>
      </c>
      <c r="P446">
        <f>sales_data_1[[#This Row],[Unit - cost]]*sales_data_1[[#This Row],[Quantity_Sold]]</f>
        <v>4279.3799999999947</v>
      </c>
    </row>
    <row r="447" spans="1:16" x14ac:dyDescent="0.3">
      <c r="A447">
        <v>1086</v>
      </c>
      <c r="B447" s="1">
        <v>45107</v>
      </c>
      <c r="C447" t="s">
        <v>13</v>
      </c>
      <c r="D447" t="s">
        <v>14</v>
      </c>
      <c r="E447">
        <v>46</v>
      </c>
      <c r="F447" t="s">
        <v>28</v>
      </c>
      <c r="G447">
        <v>2245.64</v>
      </c>
      <c r="H447">
        <v>2260.81</v>
      </c>
      <c r="I447" t="s">
        <v>29</v>
      </c>
      <c r="J447">
        <v>0</v>
      </c>
      <c r="K447" t="s">
        <v>17</v>
      </c>
      <c r="L447" t="s">
        <v>21</v>
      </c>
      <c r="M447" t="s">
        <v>19</v>
      </c>
      <c r="N447">
        <f>sales_data_1[[#This Row],[Unit_Price]]-sales_data_1[[#This Row],[Unit_Cost]]</f>
        <v>15.170000000000073</v>
      </c>
      <c r="O447">
        <f>sales_data_1[[#This Row],[Unit_Price]]*sales_data_1[[#This Row],[Quantity_Sold]]</f>
        <v>103997.26</v>
      </c>
      <c r="P447">
        <f>sales_data_1[[#This Row],[Unit - cost]]*sales_data_1[[#This Row],[Quantity_Sold]]</f>
        <v>697.82000000000335</v>
      </c>
    </row>
    <row r="448" spans="1:16" x14ac:dyDescent="0.3">
      <c r="A448">
        <v>1049</v>
      </c>
      <c r="B448" s="1">
        <v>45218</v>
      </c>
      <c r="C448" t="s">
        <v>37</v>
      </c>
      <c r="D448" t="s">
        <v>24</v>
      </c>
      <c r="E448">
        <v>30</v>
      </c>
      <c r="F448" t="s">
        <v>28</v>
      </c>
      <c r="G448">
        <v>4697.4399999999996</v>
      </c>
      <c r="H448">
        <v>4752.24</v>
      </c>
      <c r="I448" t="s">
        <v>29</v>
      </c>
      <c r="J448">
        <v>0.28000000000000003</v>
      </c>
      <c r="K448" t="s">
        <v>30</v>
      </c>
      <c r="L448" t="s">
        <v>18</v>
      </c>
      <c r="M448" t="s">
        <v>38</v>
      </c>
      <c r="N448">
        <f>sales_data_1[[#This Row],[Unit_Price]]-sales_data_1[[#This Row],[Unit_Cost]]</f>
        <v>54.800000000000182</v>
      </c>
      <c r="O448">
        <f>sales_data_1[[#This Row],[Unit_Price]]*sales_data_1[[#This Row],[Quantity_Sold]]</f>
        <v>142567.19999999998</v>
      </c>
      <c r="P448">
        <f>sales_data_1[[#This Row],[Unit - cost]]*sales_data_1[[#This Row],[Quantity_Sold]]</f>
        <v>1644.0000000000055</v>
      </c>
    </row>
    <row r="449" spans="1:16" x14ac:dyDescent="0.3">
      <c r="A449">
        <v>1052</v>
      </c>
      <c r="B449" s="1">
        <v>45208</v>
      </c>
      <c r="C449" t="s">
        <v>23</v>
      </c>
      <c r="D449" t="s">
        <v>20</v>
      </c>
      <c r="E449">
        <v>41</v>
      </c>
      <c r="F449" t="s">
        <v>34</v>
      </c>
      <c r="G449">
        <v>1509.98</v>
      </c>
      <c r="H449">
        <v>1792.83</v>
      </c>
      <c r="I449" t="s">
        <v>29</v>
      </c>
      <c r="J449">
        <v>0.04</v>
      </c>
      <c r="K449" t="s">
        <v>17</v>
      </c>
      <c r="L449" t="s">
        <v>21</v>
      </c>
      <c r="M449" t="s">
        <v>46</v>
      </c>
      <c r="N449">
        <f>sales_data_1[[#This Row],[Unit_Price]]-sales_data_1[[#This Row],[Unit_Cost]]</f>
        <v>282.84999999999991</v>
      </c>
      <c r="O449">
        <f>sales_data_1[[#This Row],[Unit_Price]]*sales_data_1[[#This Row],[Quantity_Sold]]</f>
        <v>73506.03</v>
      </c>
      <c r="P449">
        <f>sales_data_1[[#This Row],[Unit - cost]]*sales_data_1[[#This Row],[Quantity_Sold]]</f>
        <v>11596.849999999997</v>
      </c>
    </row>
    <row r="450" spans="1:16" x14ac:dyDescent="0.3">
      <c r="A450">
        <v>1042</v>
      </c>
      <c r="B450" s="1">
        <v>44955</v>
      </c>
      <c r="C450" t="s">
        <v>37</v>
      </c>
      <c r="D450" t="s">
        <v>14</v>
      </c>
      <c r="E450">
        <v>25</v>
      </c>
      <c r="F450" t="s">
        <v>25</v>
      </c>
      <c r="G450">
        <v>2403.54</v>
      </c>
      <c r="H450">
        <v>2850.56</v>
      </c>
      <c r="I450" t="s">
        <v>29</v>
      </c>
      <c r="J450">
        <v>0.13</v>
      </c>
      <c r="K450" t="s">
        <v>26</v>
      </c>
      <c r="L450" t="s">
        <v>18</v>
      </c>
      <c r="M450" t="s">
        <v>39</v>
      </c>
      <c r="N450">
        <f>sales_data_1[[#This Row],[Unit_Price]]-sales_data_1[[#This Row],[Unit_Cost]]</f>
        <v>447.02</v>
      </c>
      <c r="O450">
        <f>sales_data_1[[#This Row],[Unit_Price]]*sales_data_1[[#This Row],[Quantity_Sold]]</f>
        <v>71264</v>
      </c>
      <c r="P450">
        <f>sales_data_1[[#This Row],[Unit - cost]]*sales_data_1[[#This Row],[Quantity_Sold]]</f>
        <v>11175.5</v>
      </c>
    </row>
    <row r="451" spans="1:16" x14ac:dyDescent="0.3">
      <c r="A451">
        <v>1070</v>
      </c>
      <c r="B451" s="1">
        <v>45075</v>
      </c>
      <c r="C451" t="s">
        <v>32</v>
      </c>
      <c r="D451" t="s">
        <v>24</v>
      </c>
      <c r="E451">
        <v>14</v>
      </c>
      <c r="F451" t="s">
        <v>15</v>
      </c>
      <c r="G451">
        <v>3796.79</v>
      </c>
      <c r="H451">
        <v>3947.5</v>
      </c>
      <c r="I451" t="s">
        <v>16</v>
      </c>
      <c r="J451">
        <v>0.24</v>
      </c>
      <c r="K451" t="s">
        <v>26</v>
      </c>
      <c r="L451" t="s">
        <v>18</v>
      </c>
      <c r="M451" t="s">
        <v>43</v>
      </c>
      <c r="N451">
        <f>sales_data_1[[#This Row],[Unit_Price]]-sales_data_1[[#This Row],[Unit_Cost]]</f>
        <v>150.71000000000004</v>
      </c>
      <c r="O451">
        <f>sales_data_1[[#This Row],[Unit_Price]]*sales_data_1[[#This Row],[Quantity_Sold]]</f>
        <v>55265</v>
      </c>
      <c r="P451">
        <f>sales_data_1[[#This Row],[Unit - cost]]*sales_data_1[[#This Row],[Quantity_Sold]]</f>
        <v>2109.9400000000005</v>
      </c>
    </row>
    <row r="452" spans="1:16" x14ac:dyDescent="0.3">
      <c r="A452">
        <v>1015</v>
      </c>
      <c r="B452" s="1">
        <v>45193</v>
      </c>
      <c r="C452" t="s">
        <v>13</v>
      </c>
      <c r="D452" t="s">
        <v>33</v>
      </c>
      <c r="E452">
        <v>35</v>
      </c>
      <c r="F452" t="s">
        <v>28</v>
      </c>
      <c r="G452">
        <v>3461.15</v>
      </c>
      <c r="H452">
        <v>3631.75</v>
      </c>
      <c r="I452" t="s">
        <v>16</v>
      </c>
      <c r="J452">
        <v>0.27</v>
      </c>
      <c r="K452" t="s">
        <v>30</v>
      </c>
      <c r="L452" t="s">
        <v>18</v>
      </c>
      <c r="M452" t="s">
        <v>45</v>
      </c>
      <c r="N452">
        <f>sales_data_1[[#This Row],[Unit_Price]]-sales_data_1[[#This Row],[Unit_Cost]]</f>
        <v>170.59999999999991</v>
      </c>
      <c r="O452">
        <f>sales_data_1[[#This Row],[Unit_Price]]*sales_data_1[[#This Row],[Quantity_Sold]]</f>
        <v>127111.25</v>
      </c>
      <c r="P452">
        <f>sales_data_1[[#This Row],[Unit - cost]]*sales_data_1[[#This Row],[Quantity_Sold]]</f>
        <v>5970.9999999999964</v>
      </c>
    </row>
    <row r="453" spans="1:16" x14ac:dyDescent="0.3">
      <c r="A453">
        <v>1054</v>
      </c>
      <c r="B453" s="1">
        <v>45222</v>
      </c>
      <c r="C453" t="s">
        <v>23</v>
      </c>
      <c r="D453" t="s">
        <v>24</v>
      </c>
      <c r="E453">
        <v>48</v>
      </c>
      <c r="F453" t="s">
        <v>34</v>
      </c>
      <c r="G453">
        <v>4325.0200000000004</v>
      </c>
      <c r="H453">
        <v>4391.67</v>
      </c>
      <c r="I453" t="s">
        <v>16</v>
      </c>
      <c r="J453">
        <v>0.16</v>
      </c>
      <c r="K453" t="s">
        <v>30</v>
      </c>
      <c r="L453" t="s">
        <v>21</v>
      </c>
      <c r="M453" t="s">
        <v>27</v>
      </c>
      <c r="N453">
        <f>sales_data_1[[#This Row],[Unit_Price]]-sales_data_1[[#This Row],[Unit_Cost]]</f>
        <v>66.649999999999636</v>
      </c>
      <c r="O453">
        <f>sales_data_1[[#This Row],[Unit_Price]]*sales_data_1[[#This Row],[Quantity_Sold]]</f>
        <v>210800.16</v>
      </c>
      <c r="P453">
        <f>sales_data_1[[#This Row],[Unit - cost]]*sales_data_1[[#This Row],[Quantity_Sold]]</f>
        <v>3199.1999999999825</v>
      </c>
    </row>
    <row r="454" spans="1:16" x14ac:dyDescent="0.3">
      <c r="A454">
        <v>1060</v>
      </c>
      <c r="B454" s="1">
        <v>44937</v>
      </c>
      <c r="C454" t="s">
        <v>32</v>
      </c>
      <c r="D454" t="s">
        <v>20</v>
      </c>
      <c r="E454">
        <v>34</v>
      </c>
      <c r="F454" t="s">
        <v>34</v>
      </c>
      <c r="G454">
        <v>4984.21</v>
      </c>
      <c r="H454">
        <v>5184.6400000000003</v>
      </c>
      <c r="I454" t="s">
        <v>29</v>
      </c>
      <c r="J454">
        <v>0.17</v>
      </c>
      <c r="K454" t="s">
        <v>17</v>
      </c>
      <c r="L454" t="s">
        <v>18</v>
      </c>
      <c r="M454" t="s">
        <v>36</v>
      </c>
      <c r="N454">
        <f>sales_data_1[[#This Row],[Unit_Price]]-sales_data_1[[#This Row],[Unit_Cost]]</f>
        <v>200.43000000000029</v>
      </c>
      <c r="O454">
        <f>sales_data_1[[#This Row],[Unit_Price]]*sales_data_1[[#This Row],[Quantity_Sold]]</f>
        <v>176277.76000000001</v>
      </c>
      <c r="P454">
        <f>sales_data_1[[#This Row],[Unit - cost]]*sales_data_1[[#This Row],[Quantity_Sold]]</f>
        <v>6814.6200000000099</v>
      </c>
    </row>
    <row r="455" spans="1:16" x14ac:dyDescent="0.3">
      <c r="A455">
        <v>1097</v>
      </c>
      <c r="B455" s="1">
        <v>45090</v>
      </c>
      <c r="C455" t="s">
        <v>32</v>
      </c>
      <c r="D455" t="s">
        <v>33</v>
      </c>
      <c r="E455">
        <v>10</v>
      </c>
      <c r="F455" t="s">
        <v>15</v>
      </c>
      <c r="G455">
        <v>2162.9499999999998</v>
      </c>
      <c r="H455">
        <v>2191.1899999999996</v>
      </c>
      <c r="I455" t="s">
        <v>16</v>
      </c>
      <c r="J455">
        <v>0.2</v>
      </c>
      <c r="K455" t="s">
        <v>30</v>
      </c>
      <c r="L455" t="s">
        <v>18</v>
      </c>
      <c r="M455" t="s">
        <v>35</v>
      </c>
      <c r="N455">
        <f>sales_data_1[[#This Row],[Unit_Price]]-sales_data_1[[#This Row],[Unit_Cost]]</f>
        <v>28.239999999999782</v>
      </c>
      <c r="O455">
        <f>sales_data_1[[#This Row],[Unit_Price]]*sales_data_1[[#This Row],[Quantity_Sold]]</f>
        <v>21911.899999999994</v>
      </c>
      <c r="P455">
        <f>sales_data_1[[#This Row],[Unit - cost]]*sales_data_1[[#This Row],[Quantity_Sold]]</f>
        <v>282.39999999999782</v>
      </c>
    </row>
    <row r="456" spans="1:16" x14ac:dyDescent="0.3">
      <c r="A456">
        <v>1008</v>
      </c>
      <c r="B456" s="1">
        <v>45039</v>
      </c>
      <c r="C456" t="s">
        <v>37</v>
      </c>
      <c r="D456" t="s">
        <v>14</v>
      </c>
      <c r="E456">
        <v>35</v>
      </c>
      <c r="F456" t="s">
        <v>28</v>
      </c>
      <c r="G456">
        <v>600.20000000000005</v>
      </c>
      <c r="H456">
        <v>1059.8200000000002</v>
      </c>
      <c r="I456" t="s">
        <v>16</v>
      </c>
      <c r="J456">
        <v>0.28999999999999998</v>
      </c>
      <c r="K456" t="s">
        <v>26</v>
      </c>
      <c r="L456" t="s">
        <v>21</v>
      </c>
      <c r="M456" t="s">
        <v>39</v>
      </c>
      <c r="N456">
        <f>sales_data_1[[#This Row],[Unit_Price]]-sales_data_1[[#This Row],[Unit_Cost]]</f>
        <v>459.62000000000012</v>
      </c>
      <c r="O456">
        <f>sales_data_1[[#This Row],[Unit_Price]]*sales_data_1[[#This Row],[Quantity_Sold]]</f>
        <v>37093.700000000004</v>
      </c>
      <c r="P456">
        <f>sales_data_1[[#This Row],[Unit - cost]]*sales_data_1[[#This Row],[Quantity_Sold]]</f>
        <v>16086.700000000004</v>
      </c>
    </row>
    <row r="457" spans="1:16" x14ac:dyDescent="0.3">
      <c r="A457">
        <v>1053</v>
      </c>
      <c r="B457" s="1">
        <v>45113</v>
      </c>
      <c r="C457" t="s">
        <v>32</v>
      </c>
      <c r="D457" t="s">
        <v>33</v>
      </c>
      <c r="E457">
        <v>11</v>
      </c>
      <c r="F457" t="s">
        <v>34</v>
      </c>
      <c r="G457">
        <v>200.56</v>
      </c>
      <c r="H457">
        <v>540.38</v>
      </c>
      <c r="I457" t="s">
        <v>29</v>
      </c>
      <c r="J457">
        <v>0.18</v>
      </c>
      <c r="K457" t="s">
        <v>26</v>
      </c>
      <c r="L457" t="s">
        <v>18</v>
      </c>
      <c r="M457" t="s">
        <v>35</v>
      </c>
      <c r="N457">
        <f>sales_data_1[[#This Row],[Unit_Price]]-sales_data_1[[#This Row],[Unit_Cost]]</f>
        <v>339.82</v>
      </c>
      <c r="O457">
        <f>sales_data_1[[#This Row],[Unit_Price]]*sales_data_1[[#This Row],[Quantity_Sold]]</f>
        <v>5944.18</v>
      </c>
      <c r="P457">
        <f>sales_data_1[[#This Row],[Unit - cost]]*sales_data_1[[#This Row],[Quantity_Sold]]</f>
        <v>3738.02</v>
      </c>
    </row>
    <row r="458" spans="1:16" x14ac:dyDescent="0.3">
      <c r="A458">
        <v>1060</v>
      </c>
      <c r="B458" s="1">
        <v>45221</v>
      </c>
      <c r="C458" t="s">
        <v>13</v>
      </c>
      <c r="D458" t="s">
        <v>14</v>
      </c>
      <c r="E458">
        <v>11</v>
      </c>
      <c r="F458" t="s">
        <v>15</v>
      </c>
      <c r="G458">
        <v>3648.04</v>
      </c>
      <c r="H458">
        <v>4143.51</v>
      </c>
      <c r="I458" t="s">
        <v>16</v>
      </c>
      <c r="J458">
        <v>0.17</v>
      </c>
      <c r="K458" t="s">
        <v>30</v>
      </c>
      <c r="L458" t="s">
        <v>21</v>
      </c>
      <c r="M458" t="s">
        <v>19</v>
      </c>
      <c r="N458">
        <f>sales_data_1[[#This Row],[Unit_Price]]-sales_data_1[[#This Row],[Unit_Cost]]</f>
        <v>495.47000000000025</v>
      </c>
      <c r="O458">
        <f>sales_data_1[[#This Row],[Unit_Price]]*sales_data_1[[#This Row],[Quantity_Sold]]</f>
        <v>45578.61</v>
      </c>
      <c r="P458">
        <f>sales_data_1[[#This Row],[Unit - cost]]*sales_data_1[[#This Row],[Quantity_Sold]]</f>
        <v>5450.1700000000028</v>
      </c>
    </row>
    <row r="459" spans="1:16" x14ac:dyDescent="0.3">
      <c r="A459">
        <v>1005</v>
      </c>
      <c r="B459" s="1">
        <v>45158</v>
      </c>
      <c r="C459" t="s">
        <v>13</v>
      </c>
      <c r="D459" t="s">
        <v>14</v>
      </c>
      <c r="E459">
        <v>21</v>
      </c>
      <c r="F459" t="s">
        <v>25</v>
      </c>
      <c r="G459">
        <v>4376.37</v>
      </c>
      <c r="H459">
        <v>4818.95</v>
      </c>
      <c r="I459" t="s">
        <v>29</v>
      </c>
      <c r="J459">
        <v>0</v>
      </c>
      <c r="K459" t="s">
        <v>30</v>
      </c>
      <c r="L459" t="s">
        <v>21</v>
      </c>
      <c r="M459" t="s">
        <v>19</v>
      </c>
      <c r="N459">
        <f>sales_data_1[[#This Row],[Unit_Price]]-sales_data_1[[#This Row],[Unit_Cost]]</f>
        <v>442.57999999999993</v>
      </c>
      <c r="O459">
        <f>sales_data_1[[#This Row],[Unit_Price]]*sales_data_1[[#This Row],[Quantity_Sold]]</f>
        <v>101197.95</v>
      </c>
      <c r="P459">
        <f>sales_data_1[[#This Row],[Unit - cost]]*sales_data_1[[#This Row],[Quantity_Sold]]</f>
        <v>9294.1799999999985</v>
      </c>
    </row>
    <row r="460" spans="1:16" x14ac:dyDescent="0.3">
      <c r="A460">
        <v>1068</v>
      </c>
      <c r="B460" s="1">
        <v>45153</v>
      </c>
      <c r="C460" t="s">
        <v>41</v>
      </c>
      <c r="D460" t="s">
        <v>24</v>
      </c>
      <c r="E460">
        <v>21</v>
      </c>
      <c r="F460" t="s">
        <v>25</v>
      </c>
      <c r="G460">
        <v>1142.53</v>
      </c>
      <c r="H460">
        <v>1384.3</v>
      </c>
      <c r="I460" t="s">
        <v>16</v>
      </c>
      <c r="J460">
        <v>0.02</v>
      </c>
      <c r="K460" t="s">
        <v>30</v>
      </c>
      <c r="L460" t="s">
        <v>21</v>
      </c>
      <c r="M460" t="s">
        <v>42</v>
      </c>
      <c r="N460">
        <f>sales_data_1[[#This Row],[Unit_Price]]-sales_data_1[[#This Row],[Unit_Cost]]</f>
        <v>241.76999999999998</v>
      </c>
      <c r="O460">
        <f>sales_data_1[[#This Row],[Unit_Price]]*sales_data_1[[#This Row],[Quantity_Sold]]</f>
        <v>29070.3</v>
      </c>
      <c r="P460">
        <f>sales_data_1[[#This Row],[Unit - cost]]*sales_data_1[[#This Row],[Quantity_Sold]]</f>
        <v>5077.17</v>
      </c>
    </row>
    <row r="461" spans="1:16" x14ac:dyDescent="0.3">
      <c r="A461">
        <v>1006</v>
      </c>
      <c r="B461" s="1">
        <v>45236</v>
      </c>
      <c r="C461" t="s">
        <v>13</v>
      </c>
      <c r="D461" t="s">
        <v>24</v>
      </c>
      <c r="E461">
        <v>22</v>
      </c>
      <c r="F461" t="s">
        <v>25</v>
      </c>
      <c r="G461">
        <v>834.32</v>
      </c>
      <c r="H461">
        <v>1098.97</v>
      </c>
      <c r="I461" t="s">
        <v>16</v>
      </c>
      <c r="J461">
        <v>0.17</v>
      </c>
      <c r="K461" t="s">
        <v>17</v>
      </c>
      <c r="L461" t="s">
        <v>18</v>
      </c>
      <c r="M461" t="s">
        <v>31</v>
      </c>
      <c r="N461">
        <f>sales_data_1[[#This Row],[Unit_Price]]-sales_data_1[[#This Row],[Unit_Cost]]</f>
        <v>264.64999999999998</v>
      </c>
      <c r="O461">
        <f>sales_data_1[[#This Row],[Unit_Price]]*sales_data_1[[#This Row],[Quantity_Sold]]</f>
        <v>24177.34</v>
      </c>
      <c r="P461">
        <f>sales_data_1[[#This Row],[Unit - cost]]*sales_data_1[[#This Row],[Quantity_Sold]]</f>
        <v>5822.2999999999993</v>
      </c>
    </row>
    <row r="462" spans="1:16" x14ac:dyDescent="0.3">
      <c r="A462">
        <v>1096</v>
      </c>
      <c r="B462" s="1">
        <v>45024</v>
      </c>
      <c r="C462" t="s">
        <v>32</v>
      </c>
      <c r="D462" t="s">
        <v>24</v>
      </c>
      <c r="E462">
        <v>45</v>
      </c>
      <c r="F462" t="s">
        <v>28</v>
      </c>
      <c r="G462">
        <v>357.92</v>
      </c>
      <c r="H462">
        <v>461.3</v>
      </c>
      <c r="I462" t="s">
        <v>16</v>
      </c>
      <c r="J462">
        <v>0.28000000000000003</v>
      </c>
      <c r="K462" t="s">
        <v>17</v>
      </c>
      <c r="L462" t="s">
        <v>18</v>
      </c>
      <c r="M462" t="s">
        <v>43</v>
      </c>
      <c r="N462">
        <f>sales_data_1[[#This Row],[Unit_Price]]-sales_data_1[[#This Row],[Unit_Cost]]</f>
        <v>103.38</v>
      </c>
      <c r="O462">
        <f>sales_data_1[[#This Row],[Unit_Price]]*sales_data_1[[#This Row],[Quantity_Sold]]</f>
        <v>20758.5</v>
      </c>
      <c r="P462">
        <f>sales_data_1[[#This Row],[Unit - cost]]*sales_data_1[[#This Row],[Quantity_Sold]]</f>
        <v>4652.0999999999995</v>
      </c>
    </row>
    <row r="463" spans="1:16" x14ac:dyDescent="0.3">
      <c r="A463">
        <v>1094</v>
      </c>
      <c r="B463" s="1">
        <v>44981</v>
      </c>
      <c r="C463" t="s">
        <v>13</v>
      </c>
      <c r="D463" t="s">
        <v>20</v>
      </c>
      <c r="E463">
        <v>7</v>
      </c>
      <c r="F463" t="s">
        <v>15</v>
      </c>
      <c r="G463">
        <v>4122.38</v>
      </c>
      <c r="H463">
        <v>4358.78</v>
      </c>
      <c r="I463" t="s">
        <v>16</v>
      </c>
      <c r="J463">
        <v>0.26</v>
      </c>
      <c r="K463" t="s">
        <v>26</v>
      </c>
      <c r="L463" t="s">
        <v>21</v>
      </c>
      <c r="M463" t="s">
        <v>22</v>
      </c>
      <c r="N463">
        <f>sales_data_1[[#This Row],[Unit_Price]]-sales_data_1[[#This Row],[Unit_Cost]]</f>
        <v>236.39999999999964</v>
      </c>
      <c r="O463">
        <f>sales_data_1[[#This Row],[Unit_Price]]*sales_data_1[[#This Row],[Quantity_Sold]]</f>
        <v>30511.46</v>
      </c>
      <c r="P463">
        <f>sales_data_1[[#This Row],[Unit - cost]]*sales_data_1[[#This Row],[Quantity_Sold]]</f>
        <v>1654.7999999999975</v>
      </c>
    </row>
    <row r="464" spans="1:16" x14ac:dyDescent="0.3">
      <c r="A464">
        <v>1047</v>
      </c>
      <c r="B464" s="1">
        <v>45037</v>
      </c>
      <c r="C464" t="s">
        <v>37</v>
      </c>
      <c r="D464" t="s">
        <v>20</v>
      </c>
      <c r="E464">
        <v>17</v>
      </c>
      <c r="F464" t="s">
        <v>15</v>
      </c>
      <c r="G464">
        <v>1591.34</v>
      </c>
      <c r="H464">
        <v>2043.82</v>
      </c>
      <c r="I464" t="s">
        <v>29</v>
      </c>
      <c r="J464">
        <v>0.28999999999999998</v>
      </c>
      <c r="K464" t="s">
        <v>17</v>
      </c>
      <c r="L464" t="s">
        <v>21</v>
      </c>
      <c r="M464" t="s">
        <v>40</v>
      </c>
      <c r="N464">
        <f>sales_data_1[[#This Row],[Unit_Price]]-sales_data_1[[#This Row],[Unit_Cost]]</f>
        <v>452.48</v>
      </c>
      <c r="O464">
        <f>sales_data_1[[#This Row],[Unit_Price]]*sales_data_1[[#This Row],[Quantity_Sold]]</f>
        <v>34744.94</v>
      </c>
      <c r="P464">
        <f>sales_data_1[[#This Row],[Unit - cost]]*sales_data_1[[#This Row],[Quantity_Sold]]</f>
        <v>7692.16</v>
      </c>
    </row>
    <row r="465" spans="1:16" x14ac:dyDescent="0.3">
      <c r="A465">
        <v>1099</v>
      </c>
      <c r="B465" s="1">
        <v>45078</v>
      </c>
      <c r="C465" t="s">
        <v>41</v>
      </c>
      <c r="D465" t="s">
        <v>24</v>
      </c>
      <c r="E465">
        <v>2</v>
      </c>
      <c r="F465" t="s">
        <v>34</v>
      </c>
      <c r="G465">
        <v>2038.4</v>
      </c>
      <c r="H465">
        <v>2073.3200000000002</v>
      </c>
      <c r="I465" t="s">
        <v>29</v>
      </c>
      <c r="J465">
        <v>0.16</v>
      </c>
      <c r="K465" t="s">
        <v>17</v>
      </c>
      <c r="L465" t="s">
        <v>21</v>
      </c>
      <c r="M465" t="s">
        <v>42</v>
      </c>
      <c r="N465">
        <f>sales_data_1[[#This Row],[Unit_Price]]-sales_data_1[[#This Row],[Unit_Cost]]</f>
        <v>34.920000000000073</v>
      </c>
      <c r="O465">
        <f>sales_data_1[[#This Row],[Unit_Price]]*sales_data_1[[#This Row],[Quantity_Sold]]</f>
        <v>4146.6400000000003</v>
      </c>
      <c r="P465">
        <f>sales_data_1[[#This Row],[Unit - cost]]*sales_data_1[[#This Row],[Quantity_Sold]]</f>
        <v>69.840000000000146</v>
      </c>
    </row>
    <row r="466" spans="1:16" x14ac:dyDescent="0.3">
      <c r="A466">
        <v>1055</v>
      </c>
      <c r="B466" s="1">
        <v>45172</v>
      </c>
      <c r="C466" t="s">
        <v>32</v>
      </c>
      <c r="D466" t="s">
        <v>20</v>
      </c>
      <c r="E466">
        <v>12</v>
      </c>
      <c r="F466" t="s">
        <v>34</v>
      </c>
      <c r="G466">
        <v>2538.61</v>
      </c>
      <c r="H466">
        <v>2971.75</v>
      </c>
      <c r="I466" t="s">
        <v>16</v>
      </c>
      <c r="J466">
        <v>0.24</v>
      </c>
      <c r="K466" t="s">
        <v>17</v>
      </c>
      <c r="L466" t="s">
        <v>18</v>
      </c>
      <c r="M466" t="s">
        <v>36</v>
      </c>
      <c r="N466">
        <f>sales_data_1[[#This Row],[Unit_Price]]-sales_data_1[[#This Row],[Unit_Cost]]</f>
        <v>433.13999999999987</v>
      </c>
      <c r="O466">
        <f>sales_data_1[[#This Row],[Unit_Price]]*sales_data_1[[#This Row],[Quantity_Sold]]</f>
        <v>35661</v>
      </c>
      <c r="P466">
        <f>sales_data_1[[#This Row],[Unit - cost]]*sales_data_1[[#This Row],[Quantity_Sold]]</f>
        <v>5197.6799999999985</v>
      </c>
    </row>
    <row r="467" spans="1:16" x14ac:dyDescent="0.3">
      <c r="A467">
        <v>1040</v>
      </c>
      <c r="B467" s="1">
        <v>44995</v>
      </c>
      <c r="C467" t="s">
        <v>41</v>
      </c>
      <c r="D467" t="s">
        <v>33</v>
      </c>
      <c r="E467">
        <v>42</v>
      </c>
      <c r="F467" t="s">
        <v>34</v>
      </c>
      <c r="G467">
        <v>4205.29</v>
      </c>
      <c r="H467">
        <v>4382.3500000000004</v>
      </c>
      <c r="I467" t="s">
        <v>29</v>
      </c>
      <c r="J467">
        <v>0.25</v>
      </c>
      <c r="K467" t="s">
        <v>17</v>
      </c>
      <c r="L467" t="s">
        <v>21</v>
      </c>
      <c r="M467" t="s">
        <v>51</v>
      </c>
      <c r="N467">
        <f>sales_data_1[[#This Row],[Unit_Price]]-sales_data_1[[#This Row],[Unit_Cost]]</f>
        <v>177.0600000000004</v>
      </c>
      <c r="O467">
        <f>sales_data_1[[#This Row],[Unit_Price]]*sales_data_1[[#This Row],[Quantity_Sold]]</f>
        <v>184058.7</v>
      </c>
      <c r="P467">
        <f>sales_data_1[[#This Row],[Unit - cost]]*sales_data_1[[#This Row],[Quantity_Sold]]</f>
        <v>7436.5200000000168</v>
      </c>
    </row>
    <row r="468" spans="1:16" x14ac:dyDescent="0.3">
      <c r="A468">
        <v>1052</v>
      </c>
      <c r="B468" s="1">
        <v>45238</v>
      </c>
      <c r="C468" t="s">
        <v>32</v>
      </c>
      <c r="D468" t="s">
        <v>33</v>
      </c>
      <c r="E468">
        <v>18</v>
      </c>
      <c r="F468" t="s">
        <v>15</v>
      </c>
      <c r="G468">
        <v>3271.62</v>
      </c>
      <c r="H468">
        <v>3722.38</v>
      </c>
      <c r="I468" t="s">
        <v>16</v>
      </c>
      <c r="J468">
        <v>0.19</v>
      </c>
      <c r="K468" t="s">
        <v>26</v>
      </c>
      <c r="L468" t="s">
        <v>21</v>
      </c>
      <c r="M468" t="s">
        <v>35</v>
      </c>
      <c r="N468">
        <f>sales_data_1[[#This Row],[Unit_Price]]-sales_data_1[[#This Row],[Unit_Cost]]</f>
        <v>450.76000000000022</v>
      </c>
      <c r="O468">
        <f>sales_data_1[[#This Row],[Unit_Price]]*sales_data_1[[#This Row],[Quantity_Sold]]</f>
        <v>67002.84</v>
      </c>
      <c r="P468">
        <f>sales_data_1[[#This Row],[Unit - cost]]*sales_data_1[[#This Row],[Quantity_Sold]]</f>
        <v>8113.6800000000039</v>
      </c>
    </row>
    <row r="469" spans="1:16" x14ac:dyDescent="0.3">
      <c r="A469">
        <v>1016</v>
      </c>
      <c r="B469" s="1">
        <v>45215</v>
      </c>
      <c r="C469" t="s">
        <v>37</v>
      </c>
      <c r="D469" t="s">
        <v>20</v>
      </c>
      <c r="E469">
        <v>11</v>
      </c>
      <c r="F469" t="s">
        <v>34</v>
      </c>
      <c r="G469">
        <v>3094.57</v>
      </c>
      <c r="H469">
        <v>3565.6000000000004</v>
      </c>
      <c r="I469" t="s">
        <v>16</v>
      </c>
      <c r="J469">
        <v>0.1</v>
      </c>
      <c r="K469" t="s">
        <v>30</v>
      </c>
      <c r="L469" t="s">
        <v>21</v>
      </c>
      <c r="M469" t="s">
        <v>40</v>
      </c>
      <c r="N469">
        <f>sales_data_1[[#This Row],[Unit_Price]]-sales_data_1[[#This Row],[Unit_Cost]]</f>
        <v>471.0300000000002</v>
      </c>
      <c r="O469">
        <f>sales_data_1[[#This Row],[Unit_Price]]*sales_data_1[[#This Row],[Quantity_Sold]]</f>
        <v>39221.600000000006</v>
      </c>
      <c r="P469">
        <f>sales_data_1[[#This Row],[Unit - cost]]*sales_data_1[[#This Row],[Quantity_Sold]]</f>
        <v>5181.3300000000017</v>
      </c>
    </row>
    <row r="470" spans="1:16" x14ac:dyDescent="0.3">
      <c r="A470">
        <v>1013</v>
      </c>
      <c r="B470" s="1">
        <v>45176</v>
      </c>
      <c r="C470" t="s">
        <v>41</v>
      </c>
      <c r="D470" t="s">
        <v>20</v>
      </c>
      <c r="E470">
        <v>16</v>
      </c>
      <c r="F470" t="s">
        <v>15</v>
      </c>
      <c r="G470">
        <v>919.58</v>
      </c>
      <c r="H470">
        <v>1258.3000000000002</v>
      </c>
      <c r="I470" t="s">
        <v>16</v>
      </c>
      <c r="J470">
        <v>0.14000000000000001</v>
      </c>
      <c r="K470" t="s">
        <v>26</v>
      </c>
      <c r="L470" t="s">
        <v>18</v>
      </c>
      <c r="M470" t="s">
        <v>50</v>
      </c>
      <c r="N470">
        <f>sales_data_1[[#This Row],[Unit_Price]]-sales_data_1[[#This Row],[Unit_Cost]]</f>
        <v>338.72000000000014</v>
      </c>
      <c r="O470">
        <f>sales_data_1[[#This Row],[Unit_Price]]*sales_data_1[[#This Row],[Quantity_Sold]]</f>
        <v>20132.800000000003</v>
      </c>
      <c r="P470">
        <f>sales_data_1[[#This Row],[Unit - cost]]*sales_data_1[[#This Row],[Quantity_Sold]]</f>
        <v>5419.5200000000023</v>
      </c>
    </row>
    <row r="471" spans="1:16" x14ac:dyDescent="0.3">
      <c r="A471">
        <v>1030</v>
      </c>
      <c r="B471" s="1">
        <v>44962</v>
      </c>
      <c r="C471" t="s">
        <v>23</v>
      </c>
      <c r="D471" t="s">
        <v>33</v>
      </c>
      <c r="E471">
        <v>49</v>
      </c>
      <c r="F471" t="s">
        <v>15</v>
      </c>
      <c r="G471">
        <v>2590.29</v>
      </c>
      <c r="H471">
        <v>2925.86</v>
      </c>
      <c r="I471" t="s">
        <v>16</v>
      </c>
      <c r="J471">
        <v>0.26</v>
      </c>
      <c r="K471" t="s">
        <v>17</v>
      </c>
      <c r="L471" t="s">
        <v>21</v>
      </c>
      <c r="M471" t="s">
        <v>49</v>
      </c>
      <c r="N471">
        <f>sales_data_1[[#This Row],[Unit_Price]]-sales_data_1[[#This Row],[Unit_Cost]]</f>
        <v>335.57000000000016</v>
      </c>
      <c r="O471">
        <f>sales_data_1[[#This Row],[Unit_Price]]*sales_data_1[[#This Row],[Quantity_Sold]]</f>
        <v>143367.14000000001</v>
      </c>
      <c r="P471">
        <f>sales_data_1[[#This Row],[Unit - cost]]*sales_data_1[[#This Row],[Quantity_Sold]]</f>
        <v>16442.930000000008</v>
      </c>
    </row>
    <row r="472" spans="1:16" x14ac:dyDescent="0.3">
      <c r="A472">
        <v>1019</v>
      </c>
      <c r="B472" s="1">
        <v>45165</v>
      </c>
      <c r="C472" t="s">
        <v>32</v>
      </c>
      <c r="D472" t="s">
        <v>14</v>
      </c>
      <c r="E472">
        <v>18</v>
      </c>
      <c r="F472" t="s">
        <v>25</v>
      </c>
      <c r="G472">
        <v>3591.14</v>
      </c>
      <c r="H472">
        <v>3822.99</v>
      </c>
      <c r="I472" t="s">
        <v>16</v>
      </c>
      <c r="J472">
        <v>0.09</v>
      </c>
      <c r="K472" t="s">
        <v>30</v>
      </c>
      <c r="L472" t="s">
        <v>18</v>
      </c>
      <c r="M472" t="s">
        <v>52</v>
      </c>
      <c r="N472">
        <f>sales_data_1[[#This Row],[Unit_Price]]-sales_data_1[[#This Row],[Unit_Cost]]</f>
        <v>231.84999999999991</v>
      </c>
      <c r="O472">
        <f>sales_data_1[[#This Row],[Unit_Price]]*sales_data_1[[#This Row],[Quantity_Sold]]</f>
        <v>68813.819999999992</v>
      </c>
      <c r="P472">
        <f>sales_data_1[[#This Row],[Unit - cost]]*sales_data_1[[#This Row],[Quantity_Sold]]</f>
        <v>4173.2999999999984</v>
      </c>
    </row>
    <row r="473" spans="1:16" x14ac:dyDescent="0.3">
      <c r="A473">
        <v>1017</v>
      </c>
      <c r="B473" s="1">
        <v>45074</v>
      </c>
      <c r="C473" t="s">
        <v>23</v>
      </c>
      <c r="D473" t="s">
        <v>33</v>
      </c>
      <c r="E473">
        <v>35</v>
      </c>
      <c r="F473" t="s">
        <v>34</v>
      </c>
      <c r="G473">
        <v>4867.6400000000003</v>
      </c>
      <c r="H473">
        <v>5287.05</v>
      </c>
      <c r="I473" t="s">
        <v>16</v>
      </c>
      <c r="J473">
        <v>0.28000000000000003</v>
      </c>
      <c r="K473" t="s">
        <v>30</v>
      </c>
      <c r="L473" t="s">
        <v>18</v>
      </c>
      <c r="M473" t="s">
        <v>49</v>
      </c>
      <c r="N473">
        <f>sales_data_1[[#This Row],[Unit_Price]]-sales_data_1[[#This Row],[Unit_Cost]]</f>
        <v>419.40999999999985</v>
      </c>
      <c r="O473">
        <f>sales_data_1[[#This Row],[Unit_Price]]*sales_data_1[[#This Row],[Quantity_Sold]]</f>
        <v>185046.75</v>
      </c>
      <c r="P473">
        <f>sales_data_1[[#This Row],[Unit - cost]]*sales_data_1[[#This Row],[Quantity_Sold]]</f>
        <v>14679.349999999995</v>
      </c>
    </row>
    <row r="474" spans="1:16" x14ac:dyDescent="0.3">
      <c r="A474">
        <v>1063</v>
      </c>
      <c r="B474" s="1">
        <v>45153</v>
      </c>
      <c r="C474" t="s">
        <v>41</v>
      </c>
      <c r="D474" t="s">
        <v>33</v>
      </c>
      <c r="E474">
        <v>26</v>
      </c>
      <c r="F474" t="s">
        <v>25</v>
      </c>
      <c r="G474">
        <v>1046.96</v>
      </c>
      <c r="H474">
        <v>1528.15</v>
      </c>
      <c r="I474" t="s">
        <v>29</v>
      </c>
      <c r="J474">
        <v>7.0000000000000007E-2</v>
      </c>
      <c r="K474" t="s">
        <v>30</v>
      </c>
      <c r="L474" t="s">
        <v>21</v>
      </c>
      <c r="M474" t="s">
        <v>51</v>
      </c>
      <c r="N474">
        <f>sales_data_1[[#This Row],[Unit_Price]]-sales_data_1[[#This Row],[Unit_Cost]]</f>
        <v>481.19000000000005</v>
      </c>
      <c r="O474">
        <f>sales_data_1[[#This Row],[Unit_Price]]*sales_data_1[[#This Row],[Quantity_Sold]]</f>
        <v>39731.9</v>
      </c>
      <c r="P474">
        <f>sales_data_1[[#This Row],[Unit - cost]]*sales_data_1[[#This Row],[Quantity_Sold]]</f>
        <v>12510.940000000002</v>
      </c>
    </row>
    <row r="475" spans="1:16" x14ac:dyDescent="0.3">
      <c r="A475">
        <v>1019</v>
      </c>
      <c r="B475" s="1">
        <v>45170</v>
      </c>
      <c r="C475" t="s">
        <v>23</v>
      </c>
      <c r="D475" t="s">
        <v>20</v>
      </c>
      <c r="E475">
        <v>16</v>
      </c>
      <c r="F475" t="s">
        <v>28</v>
      </c>
      <c r="G475">
        <v>97.24</v>
      </c>
      <c r="H475">
        <v>487.03000000000003</v>
      </c>
      <c r="I475" t="s">
        <v>29</v>
      </c>
      <c r="J475">
        <v>0.22</v>
      </c>
      <c r="K475" t="s">
        <v>26</v>
      </c>
      <c r="L475" t="s">
        <v>21</v>
      </c>
      <c r="M475" t="s">
        <v>46</v>
      </c>
      <c r="N475">
        <f>sales_data_1[[#This Row],[Unit_Price]]-sales_data_1[[#This Row],[Unit_Cost]]</f>
        <v>389.79</v>
      </c>
      <c r="O475">
        <f>sales_data_1[[#This Row],[Unit_Price]]*sales_data_1[[#This Row],[Quantity_Sold]]</f>
        <v>7792.4800000000005</v>
      </c>
      <c r="P475">
        <f>sales_data_1[[#This Row],[Unit - cost]]*sales_data_1[[#This Row],[Quantity_Sold]]</f>
        <v>6236.64</v>
      </c>
    </row>
    <row r="476" spans="1:16" x14ac:dyDescent="0.3">
      <c r="A476">
        <v>1092</v>
      </c>
      <c r="B476" s="1">
        <v>45263</v>
      </c>
      <c r="C476" t="s">
        <v>23</v>
      </c>
      <c r="D476" t="s">
        <v>33</v>
      </c>
      <c r="E476">
        <v>6</v>
      </c>
      <c r="F476" t="s">
        <v>28</v>
      </c>
      <c r="G476">
        <v>422.74</v>
      </c>
      <c r="H476">
        <v>737.49</v>
      </c>
      <c r="I476" t="s">
        <v>16</v>
      </c>
      <c r="J476">
        <v>0.19</v>
      </c>
      <c r="K476" t="s">
        <v>30</v>
      </c>
      <c r="L476" t="s">
        <v>21</v>
      </c>
      <c r="M476" t="s">
        <v>49</v>
      </c>
      <c r="N476">
        <f>sales_data_1[[#This Row],[Unit_Price]]-sales_data_1[[#This Row],[Unit_Cost]]</f>
        <v>314.75</v>
      </c>
      <c r="O476">
        <f>sales_data_1[[#This Row],[Unit_Price]]*sales_data_1[[#This Row],[Quantity_Sold]]</f>
        <v>4424.9400000000005</v>
      </c>
      <c r="P476">
        <f>sales_data_1[[#This Row],[Unit - cost]]*sales_data_1[[#This Row],[Quantity_Sold]]</f>
        <v>1888.5</v>
      </c>
    </row>
    <row r="477" spans="1:16" x14ac:dyDescent="0.3">
      <c r="A477">
        <v>1058</v>
      </c>
      <c r="B477" s="1">
        <v>45291</v>
      </c>
      <c r="C477" t="s">
        <v>41</v>
      </c>
      <c r="D477" t="s">
        <v>20</v>
      </c>
      <c r="E477">
        <v>44</v>
      </c>
      <c r="F477" t="s">
        <v>28</v>
      </c>
      <c r="G477">
        <v>1910.47</v>
      </c>
      <c r="H477">
        <v>2217.8000000000002</v>
      </c>
      <c r="I477" t="s">
        <v>29</v>
      </c>
      <c r="J477">
        <v>0.22</v>
      </c>
      <c r="K477" t="s">
        <v>26</v>
      </c>
      <c r="L477" t="s">
        <v>18</v>
      </c>
      <c r="M477" t="s">
        <v>50</v>
      </c>
      <c r="N477">
        <f>sales_data_1[[#This Row],[Unit_Price]]-sales_data_1[[#This Row],[Unit_Cost]]</f>
        <v>307.33000000000015</v>
      </c>
      <c r="O477">
        <f>sales_data_1[[#This Row],[Unit_Price]]*sales_data_1[[#This Row],[Quantity_Sold]]</f>
        <v>97583.200000000012</v>
      </c>
      <c r="P477">
        <f>sales_data_1[[#This Row],[Unit - cost]]*sales_data_1[[#This Row],[Quantity_Sold]]</f>
        <v>13522.520000000008</v>
      </c>
    </row>
    <row r="478" spans="1:16" x14ac:dyDescent="0.3">
      <c r="A478">
        <v>1055</v>
      </c>
      <c r="B478" s="1">
        <v>45127</v>
      </c>
      <c r="C478" t="s">
        <v>37</v>
      </c>
      <c r="D478" t="s">
        <v>20</v>
      </c>
      <c r="E478">
        <v>43</v>
      </c>
      <c r="F478" t="s">
        <v>15</v>
      </c>
      <c r="G478">
        <v>4111.7</v>
      </c>
      <c r="H478">
        <v>4537.9399999999996</v>
      </c>
      <c r="I478" t="s">
        <v>16</v>
      </c>
      <c r="J478">
        <v>0.13</v>
      </c>
      <c r="K478" t="s">
        <v>26</v>
      </c>
      <c r="L478" t="s">
        <v>18</v>
      </c>
      <c r="M478" t="s">
        <v>40</v>
      </c>
      <c r="N478">
        <f>sales_data_1[[#This Row],[Unit_Price]]-sales_data_1[[#This Row],[Unit_Cost]]</f>
        <v>426.23999999999978</v>
      </c>
      <c r="O478">
        <f>sales_data_1[[#This Row],[Unit_Price]]*sales_data_1[[#This Row],[Quantity_Sold]]</f>
        <v>195131.41999999998</v>
      </c>
      <c r="P478">
        <f>sales_data_1[[#This Row],[Unit - cost]]*sales_data_1[[#This Row],[Quantity_Sold]]</f>
        <v>18328.319999999992</v>
      </c>
    </row>
    <row r="479" spans="1:16" x14ac:dyDescent="0.3">
      <c r="A479">
        <v>1090</v>
      </c>
      <c r="B479" s="1">
        <v>45080</v>
      </c>
      <c r="C479" t="s">
        <v>23</v>
      </c>
      <c r="D479" t="s">
        <v>24</v>
      </c>
      <c r="E479">
        <v>47</v>
      </c>
      <c r="F479" t="s">
        <v>15</v>
      </c>
      <c r="G479">
        <v>85.35</v>
      </c>
      <c r="H479">
        <v>360.53999999999996</v>
      </c>
      <c r="I479" t="s">
        <v>29</v>
      </c>
      <c r="J479">
        <v>0.28000000000000003</v>
      </c>
      <c r="K479" t="s">
        <v>17</v>
      </c>
      <c r="L479" t="s">
        <v>18</v>
      </c>
      <c r="M479" t="s">
        <v>27</v>
      </c>
      <c r="N479">
        <f>sales_data_1[[#This Row],[Unit_Price]]-sales_data_1[[#This Row],[Unit_Cost]]</f>
        <v>275.18999999999994</v>
      </c>
      <c r="O479">
        <f>sales_data_1[[#This Row],[Unit_Price]]*sales_data_1[[#This Row],[Quantity_Sold]]</f>
        <v>16945.379999999997</v>
      </c>
      <c r="P479">
        <f>sales_data_1[[#This Row],[Unit - cost]]*sales_data_1[[#This Row],[Quantity_Sold]]</f>
        <v>12933.929999999997</v>
      </c>
    </row>
    <row r="480" spans="1:16" x14ac:dyDescent="0.3">
      <c r="A480">
        <v>1090</v>
      </c>
      <c r="B480" s="1">
        <v>44999</v>
      </c>
      <c r="C480" t="s">
        <v>23</v>
      </c>
      <c r="D480" t="s">
        <v>33</v>
      </c>
      <c r="E480">
        <v>47</v>
      </c>
      <c r="F480" t="s">
        <v>15</v>
      </c>
      <c r="G480">
        <v>2310.8200000000002</v>
      </c>
      <c r="H480">
        <v>2714.71</v>
      </c>
      <c r="I480" t="s">
        <v>29</v>
      </c>
      <c r="J480">
        <v>0.19</v>
      </c>
      <c r="K480" t="s">
        <v>17</v>
      </c>
      <c r="L480" t="s">
        <v>21</v>
      </c>
      <c r="M480" t="s">
        <v>49</v>
      </c>
      <c r="N480">
        <f>sales_data_1[[#This Row],[Unit_Price]]-sales_data_1[[#This Row],[Unit_Cost]]</f>
        <v>403.88999999999987</v>
      </c>
      <c r="O480">
        <f>sales_data_1[[#This Row],[Unit_Price]]*sales_data_1[[#This Row],[Quantity_Sold]]</f>
        <v>127591.37</v>
      </c>
      <c r="P480">
        <f>sales_data_1[[#This Row],[Unit - cost]]*sales_data_1[[#This Row],[Quantity_Sold]]</f>
        <v>18982.829999999994</v>
      </c>
    </row>
    <row r="481" spans="1:16" x14ac:dyDescent="0.3">
      <c r="A481">
        <v>1062</v>
      </c>
      <c r="B481" s="1">
        <v>45127</v>
      </c>
      <c r="C481" t="s">
        <v>37</v>
      </c>
      <c r="D481" t="s">
        <v>14</v>
      </c>
      <c r="E481">
        <v>48</v>
      </c>
      <c r="F481" t="s">
        <v>34</v>
      </c>
      <c r="G481">
        <v>1679.69</v>
      </c>
      <c r="H481">
        <v>1939.04</v>
      </c>
      <c r="I481" t="s">
        <v>29</v>
      </c>
      <c r="J481">
        <v>0.09</v>
      </c>
      <c r="K481" t="s">
        <v>30</v>
      </c>
      <c r="L481" t="s">
        <v>18</v>
      </c>
      <c r="M481" t="s">
        <v>39</v>
      </c>
      <c r="N481">
        <f>sales_data_1[[#This Row],[Unit_Price]]-sales_data_1[[#This Row],[Unit_Cost]]</f>
        <v>259.34999999999991</v>
      </c>
      <c r="O481">
        <f>sales_data_1[[#This Row],[Unit_Price]]*sales_data_1[[#This Row],[Quantity_Sold]]</f>
        <v>93073.919999999998</v>
      </c>
      <c r="P481">
        <f>sales_data_1[[#This Row],[Unit - cost]]*sales_data_1[[#This Row],[Quantity_Sold]]</f>
        <v>12448.799999999996</v>
      </c>
    </row>
    <row r="482" spans="1:16" x14ac:dyDescent="0.3">
      <c r="A482">
        <v>1023</v>
      </c>
      <c r="B482" s="1">
        <v>45222</v>
      </c>
      <c r="C482" t="s">
        <v>23</v>
      </c>
      <c r="D482" t="s">
        <v>24</v>
      </c>
      <c r="E482">
        <v>42</v>
      </c>
      <c r="F482" t="s">
        <v>25</v>
      </c>
      <c r="G482">
        <v>309.77999999999997</v>
      </c>
      <c r="H482">
        <v>350.38</v>
      </c>
      <c r="I482" t="s">
        <v>16</v>
      </c>
      <c r="J482">
        <v>0.19</v>
      </c>
      <c r="K482" t="s">
        <v>30</v>
      </c>
      <c r="L482" t="s">
        <v>21</v>
      </c>
      <c r="M482" t="s">
        <v>27</v>
      </c>
      <c r="N482">
        <f>sales_data_1[[#This Row],[Unit_Price]]-sales_data_1[[#This Row],[Unit_Cost]]</f>
        <v>40.600000000000023</v>
      </c>
      <c r="O482">
        <f>sales_data_1[[#This Row],[Unit_Price]]*sales_data_1[[#This Row],[Quantity_Sold]]</f>
        <v>14715.96</v>
      </c>
      <c r="P482">
        <f>sales_data_1[[#This Row],[Unit - cost]]*sales_data_1[[#This Row],[Quantity_Sold]]</f>
        <v>1705.200000000001</v>
      </c>
    </row>
    <row r="483" spans="1:16" x14ac:dyDescent="0.3">
      <c r="A483">
        <v>1009</v>
      </c>
      <c r="B483" s="1">
        <v>44943</v>
      </c>
      <c r="C483" t="s">
        <v>23</v>
      </c>
      <c r="D483" t="s">
        <v>20</v>
      </c>
      <c r="E483">
        <v>12</v>
      </c>
      <c r="F483" t="s">
        <v>15</v>
      </c>
      <c r="G483">
        <v>2278.67</v>
      </c>
      <c r="H483">
        <v>2476.8000000000002</v>
      </c>
      <c r="I483" t="s">
        <v>29</v>
      </c>
      <c r="J483">
        <v>0.09</v>
      </c>
      <c r="K483" t="s">
        <v>17</v>
      </c>
      <c r="L483" t="s">
        <v>21</v>
      </c>
      <c r="M483" t="s">
        <v>46</v>
      </c>
      <c r="N483">
        <f>sales_data_1[[#This Row],[Unit_Price]]-sales_data_1[[#This Row],[Unit_Cost]]</f>
        <v>198.13000000000011</v>
      </c>
      <c r="O483">
        <f>sales_data_1[[#This Row],[Unit_Price]]*sales_data_1[[#This Row],[Quantity_Sold]]</f>
        <v>29721.600000000002</v>
      </c>
      <c r="P483">
        <f>sales_data_1[[#This Row],[Unit - cost]]*sales_data_1[[#This Row],[Quantity_Sold]]</f>
        <v>2377.5600000000013</v>
      </c>
    </row>
    <row r="484" spans="1:16" x14ac:dyDescent="0.3">
      <c r="A484">
        <v>1012</v>
      </c>
      <c r="B484" s="1">
        <v>45055</v>
      </c>
      <c r="C484" t="s">
        <v>23</v>
      </c>
      <c r="D484" t="s">
        <v>20</v>
      </c>
      <c r="E484">
        <v>13</v>
      </c>
      <c r="F484" t="s">
        <v>25</v>
      </c>
      <c r="G484">
        <v>1311.01</v>
      </c>
      <c r="H484">
        <v>1538.79</v>
      </c>
      <c r="I484" t="s">
        <v>16</v>
      </c>
      <c r="J484">
        <v>0.09</v>
      </c>
      <c r="K484" t="s">
        <v>26</v>
      </c>
      <c r="L484" t="s">
        <v>21</v>
      </c>
      <c r="M484" t="s">
        <v>46</v>
      </c>
      <c r="N484">
        <f>sales_data_1[[#This Row],[Unit_Price]]-sales_data_1[[#This Row],[Unit_Cost]]</f>
        <v>227.77999999999997</v>
      </c>
      <c r="O484">
        <f>sales_data_1[[#This Row],[Unit_Price]]*sales_data_1[[#This Row],[Quantity_Sold]]</f>
        <v>20004.27</v>
      </c>
      <c r="P484">
        <f>sales_data_1[[#This Row],[Unit - cost]]*sales_data_1[[#This Row],[Quantity_Sold]]</f>
        <v>2961.1399999999994</v>
      </c>
    </row>
    <row r="485" spans="1:16" x14ac:dyDescent="0.3">
      <c r="A485">
        <v>1001</v>
      </c>
      <c r="B485" s="1">
        <v>45143</v>
      </c>
      <c r="C485" t="s">
        <v>13</v>
      </c>
      <c r="D485" t="s">
        <v>14</v>
      </c>
      <c r="E485">
        <v>4</v>
      </c>
      <c r="F485" t="s">
        <v>25</v>
      </c>
      <c r="G485">
        <v>1791.83</v>
      </c>
      <c r="H485">
        <v>1871.22</v>
      </c>
      <c r="I485" t="s">
        <v>16</v>
      </c>
      <c r="J485">
        <v>0.12</v>
      </c>
      <c r="K485" t="s">
        <v>26</v>
      </c>
      <c r="L485" t="s">
        <v>18</v>
      </c>
      <c r="M485" t="s">
        <v>19</v>
      </c>
      <c r="N485">
        <f>sales_data_1[[#This Row],[Unit_Price]]-sales_data_1[[#This Row],[Unit_Cost]]</f>
        <v>79.3900000000001</v>
      </c>
      <c r="O485">
        <f>sales_data_1[[#This Row],[Unit_Price]]*sales_data_1[[#This Row],[Quantity_Sold]]</f>
        <v>7484.88</v>
      </c>
      <c r="P485">
        <f>sales_data_1[[#This Row],[Unit - cost]]*sales_data_1[[#This Row],[Quantity_Sold]]</f>
        <v>317.5600000000004</v>
      </c>
    </row>
    <row r="486" spans="1:16" x14ac:dyDescent="0.3">
      <c r="A486">
        <v>1058</v>
      </c>
      <c r="B486" s="1">
        <v>44987</v>
      </c>
      <c r="C486" t="s">
        <v>37</v>
      </c>
      <c r="D486" t="s">
        <v>20</v>
      </c>
      <c r="E486">
        <v>39</v>
      </c>
      <c r="F486" t="s">
        <v>25</v>
      </c>
      <c r="G486">
        <v>3542.8</v>
      </c>
      <c r="H486">
        <v>3603.02</v>
      </c>
      <c r="I486" t="s">
        <v>16</v>
      </c>
      <c r="J486">
        <v>0.26</v>
      </c>
      <c r="K486" t="s">
        <v>17</v>
      </c>
      <c r="L486" t="s">
        <v>18</v>
      </c>
      <c r="M486" t="s">
        <v>40</v>
      </c>
      <c r="N486">
        <f>sales_data_1[[#This Row],[Unit_Price]]-sales_data_1[[#This Row],[Unit_Cost]]</f>
        <v>60.2199999999998</v>
      </c>
      <c r="O486">
        <f>sales_data_1[[#This Row],[Unit_Price]]*sales_data_1[[#This Row],[Quantity_Sold]]</f>
        <v>140517.78</v>
      </c>
      <c r="P486">
        <f>sales_data_1[[#This Row],[Unit - cost]]*sales_data_1[[#This Row],[Quantity_Sold]]</f>
        <v>2348.5799999999922</v>
      </c>
    </row>
    <row r="487" spans="1:16" x14ac:dyDescent="0.3">
      <c r="A487">
        <v>1001</v>
      </c>
      <c r="B487" s="1">
        <v>45030</v>
      </c>
      <c r="C487" t="s">
        <v>23</v>
      </c>
      <c r="D487" t="s">
        <v>33</v>
      </c>
      <c r="E487">
        <v>2</v>
      </c>
      <c r="F487" t="s">
        <v>34</v>
      </c>
      <c r="G487">
        <v>2631.68</v>
      </c>
      <c r="H487">
        <v>2904.06</v>
      </c>
      <c r="I487" t="s">
        <v>29</v>
      </c>
      <c r="J487">
        <v>0.15</v>
      </c>
      <c r="K487" t="s">
        <v>26</v>
      </c>
      <c r="L487" t="s">
        <v>18</v>
      </c>
      <c r="M487" t="s">
        <v>49</v>
      </c>
      <c r="N487">
        <f>sales_data_1[[#This Row],[Unit_Price]]-sales_data_1[[#This Row],[Unit_Cost]]</f>
        <v>272.38000000000011</v>
      </c>
      <c r="O487">
        <f>sales_data_1[[#This Row],[Unit_Price]]*sales_data_1[[#This Row],[Quantity_Sold]]</f>
        <v>5808.12</v>
      </c>
      <c r="P487">
        <f>sales_data_1[[#This Row],[Unit - cost]]*sales_data_1[[#This Row],[Quantity_Sold]]</f>
        <v>544.76000000000022</v>
      </c>
    </row>
    <row r="488" spans="1:16" x14ac:dyDescent="0.3">
      <c r="A488">
        <v>1034</v>
      </c>
      <c r="B488" s="1">
        <v>44968</v>
      </c>
      <c r="C488" t="s">
        <v>37</v>
      </c>
      <c r="D488" t="s">
        <v>24</v>
      </c>
      <c r="E488">
        <v>26</v>
      </c>
      <c r="F488" t="s">
        <v>34</v>
      </c>
      <c r="G488">
        <v>667</v>
      </c>
      <c r="H488">
        <v>718.72</v>
      </c>
      <c r="I488" t="s">
        <v>29</v>
      </c>
      <c r="J488">
        <v>0.2</v>
      </c>
      <c r="K488" t="s">
        <v>17</v>
      </c>
      <c r="L488" t="s">
        <v>21</v>
      </c>
      <c r="M488" t="s">
        <v>38</v>
      </c>
      <c r="N488">
        <f>sales_data_1[[#This Row],[Unit_Price]]-sales_data_1[[#This Row],[Unit_Cost]]</f>
        <v>51.720000000000027</v>
      </c>
      <c r="O488">
        <f>sales_data_1[[#This Row],[Unit_Price]]*sales_data_1[[#This Row],[Quantity_Sold]]</f>
        <v>18686.72</v>
      </c>
      <c r="P488">
        <f>sales_data_1[[#This Row],[Unit - cost]]*sales_data_1[[#This Row],[Quantity_Sold]]</f>
        <v>1344.7200000000007</v>
      </c>
    </row>
    <row r="489" spans="1:16" x14ac:dyDescent="0.3">
      <c r="A489">
        <v>1096</v>
      </c>
      <c r="B489" s="1">
        <v>44951</v>
      </c>
      <c r="C489" t="s">
        <v>32</v>
      </c>
      <c r="D489" t="s">
        <v>20</v>
      </c>
      <c r="E489">
        <v>27</v>
      </c>
      <c r="F489" t="s">
        <v>28</v>
      </c>
      <c r="G489">
        <v>4809</v>
      </c>
      <c r="H489">
        <v>4967.4399999999996</v>
      </c>
      <c r="I489" t="s">
        <v>29</v>
      </c>
      <c r="J489">
        <v>0.12</v>
      </c>
      <c r="K489" t="s">
        <v>17</v>
      </c>
      <c r="L489" t="s">
        <v>18</v>
      </c>
      <c r="M489" t="s">
        <v>36</v>
      </c>
      <c r="N489">
        <f>sales_data_1[[#This Row],[Unit_Price]]-sales_data_1[[#This Row],[Unit_Cost]]</f>
        <v>158.4399999999996</v>
      </c>
      <c r="O489">
        <f>sales_data_1[[#This Row],[Unit_Price]]*sales_data_1[[#This Row],[Quantity_Sold]]</f>
        <v>134120.87999999998</v>
      </c>
      <c r="P489">
        <f>sales_data_1[[#This Row],[Unit - cost]]*sales_data_1[[#This Row],[Quantity_Sold]]</f>
        <v>4277.8799999999892</v>
      </c>
    </row>
    <row r="490" spans="1:16" x14ac:dyDescent="0.3">
      <c r="A490">
        <v>1048</v>
      </c>
      <c r="B490" s="1">
        <v>44965</v>
      </c>
      <c r="C490" t="s">
        <v>32</v>
      </c>
      <c r="D490" t="s">
        <v>20</v>
      </c>
      <c r="E490">
        <v>27</v>
      </c>
      <c r="F490" t="s">
        <v>28</v>
      </c>
      <c r="G490">
        <v>3197.76</v>
      </c>
      <c r="H490">
        <v>3572.61</v>
      </c>
      <c r="I490" t="s">
        <v>16</v>
      </c>
      <c r="J490">
        <v>0.08</v>
      </c>
      <c r="K490" t="s">
        <v>30</v>
      </c>
      <c r="L490" t="s">
        <v>18</v>
      </c>
      <c r="M490" t="s">
        <v>36</v>
      </c>
      <c r="N490">
        <f>sales_data_1[[#This Row],[Unit_Price]]-sales_data_1[[#This Row],[Unit_Cost]]</f>
        <v>374.84999999999991</v>
      </c>
      <c r="O490">
        <f>sales_data_1[[#This Row],[Unit_Price]]*sales_data_1[[#This Row],[Quantity_Sold]]</f>
        <v>96460.47</v>
      </c>
      <c r="P490">
        <f>sales_data_1[[#This Row],[Unit - cost]]*sales_data_1[[#This Row],[Quantity_Sold]]</f>
        <v>10120.949999999997</v>
      </c>
    </row>
    <row r="491" spans="1:16" x14ac:dyDescent="0.3">
      <c r="A491">
        <v>1089</v>
      </c>
      <c r="B491" s="1">
        <v>45217</v>
      </c>
      <c r="C491" t="s">
        <v>23</v>
      </c>
      <c r="D491" t="s">
        <v>14</v>
      </c>
      <c r="E491">
        <v>15</v>
      </c>
      <c r="F491" t="s">
        <v>25</v>
      </c>
      <c r="G491">
        <v>3841.05</v>
      </c>
      <c r="H491">
        <v>4323.62</v>
      </c>
      <c r="I491" t="s">
        <v>16</v>
      </c>
      <c r="J491">
        <v>0.28999999999999998</v>
      </c>
      <c r="K491" t="s">
        <v>30</v>
      </c>
      <c r="L491" t="s">
        <v>21</v>
      </c>
      <c r="M491" t="s">
        <v>44</v>
      </c>
      <c r="N491">
        <f>sales_data_1[[#This Row],[Unit_Price]]-sales_data_1[[#This Row],[Unit_Cost]]</f>
        <v>482.56999999999971</v>
      </c>
      <c r="O491">
        <f>sales_data_1[[#This Row],[Unit_Price]]*sales_data_1[[#This Row],[Quantity_Sold]]</f>
        <v>64854.299999999996</v>
      </c>
      <c r="P491">
        <f>sales_data_1[[#This Row],[Unit - cost]]*sales_data_1[[#This Row],[Quantity_Sold]]</f>
        <v>7238.5499999999956</v>
      </c>
    </row>
    <row r="492" spans="1:16" x14ac:dyDescent="0.3">
      <c r="A492">
        <v>1001</v>
      </c>
      <c r="B492" s="1">
        <v>45057</v>
      </c>
      <c r="C492" t="s">
        <v>37</v>
      </c>
      <c r="D492" t="s">
        <v>33</v>
      </c>
      <c r="E492">
        <v>8</v>
      </c>
      <c r="F492" t="s">
        <v>28</v>
      </c>
      <c r="G492">
        <v>442.11</v>
      </c>
      <c r="H492">
        <v>803.87</v>
      </c>
      <c r="I492" t="s">
        <v>29</v>
      </c>
      <c r="J492">
        <v>0.18</v>
      </c>
      <c r="K492" t="s">
        <v>17</v>
      </c>
      <c r="L492" t="s">
        <v>21</v>
      </c>
      <c r="M492" t="s">
        <v>47</v>
      </c>
      <c r="N492">
        <f>sales_data_1[[#This Row],[Unit_Price]]-sales_data_1[[#This Row],[Unit_Cost]]</f>
        <v>361.76</v>
      </c>
      <c r="O492">
        <f>sales_data_1[[#This Row],[Unit_Price]]*sales_data_1[[#This Row],[Quantity_Sold]]</f>
        <v>6430.96</v>
      </c>
      <c r="P492">
        <f>sales_data_1[[#This Row],[Unit - cost]]*sales_data_1[[#This Row],[Quantity_Sold]]</f>
        <v>2894.08</v>
      </c>
    </row>
    <row r="493" spans="1:16" x14ac:dyDescent="0.3">
      <c r="A493">
        <v>1016</v>
      </c>
      <c r="B493" s="1">
        <v>45155</v>
      </c>
      <c r="C493" t="s">
        <v>37</v>
      </c>
      <c r="D493" t="s">
        <v>20</v>
      </c>
      <c r="E493">
        <v>7</v>
      </c>
      <c r="F493" t="s">
        <v>25</v>
      </c>
      <c r="G493">
        <v>282.94</v>
      </c>
      <c r="H493">
        <v>779.32999999999993</v>
      </c>
      <c r="I493" t="s">
        <v>16</v>
      </c>
      <c r="J493">
        <v>0.28000000000000003</v>
      </c>
      <c r="K493" t="s">
        <v>30</v>
      </c>
      <c r="L493" t="s">
        <v>18</v>
      </c>
      <c r="M493" t="s">
        <v>40</v>
      </c>
      <c r="N493">
        <f>sales_data_1[[#This Row],[Unit_Price]]-sales_data_1[[#This Row],[Unit_Cost]]</f>
        <v>496.38999999999993</v>
      </c>
      <c r="O493">
        <f>sales_data_1[[#This Row],[Unit_Price]]*sales_data_1[[#This Row],[Quantity_Sold]]</f>
        <v>5455.3099999999995</v>
      </c>
      <c r="P493">
        <f>sales_data_1[[#This Row],[Unit - cost]]*sales_data_1[[#This Row],[Quantity_Sold]]</f>
        <v>3474.7299999999996</v>
      </c>
    </row>
    <row r="494" spans="1:16" x14ac:dyDescent="0.3">
      <c r="A494">
        <v>1061</v>
      </c>
      <c r="B494" s="1">
        <v>45034</v>
      </c>
      <c r="C494" t="s">
        <v>37</v>
      </c>
      <c r="D494" t="s">
        <v>14</v>
      </c>
      <c r="E494">
        <v>47</v>
      </c>
      <c r="F494" t="s">
        <v>34</v>
      </c>
      <c r="G494">
        <v>146.27000000000001</v>
      </c>
      <c r="H494">
        <v>498.46000000000004</v>
      </c>
      <c r="I494" t="s">
        <v>29</v>
      </c>
      <c r="J494">
        <v>0.06</v>
      </c>
      <c r="K494" t="s">
        <v>17</v>
      </c>
      <c r="L494" t="s">
        <v>21</v>
      </c>
      <c r="M494" t="s">
        <v>39</v>
      </c>
      <c r="N494">
        <f>sales_data_1[[#This Row],[Unit_Price]]-sales_data_1[[#This Row],[Unit_Cost]]</f>
        <v>352.19000000000005</v>
      </c>
      <c r="O494">
        <f>sales_data_1[[#This Row],[Unit_Price]]*sales_data_1[[#This Row],[Quantity_Sold]]</f>
        <v>23427.620000000003</v>
      </c>
      <c r="P494">
        <f>sales_data_1[[#This Row],[Unit - cost]]*sales_data_1[[#This Row],[Quantity_Sold]]</f>
        <v>16552.930000000004</v>
      </c>
    </row>
    <row r="495" spans="1:16" x14ac:dyDescent="0.3">
      <c r="A495">
        <v>1064</v>
      </c>
      <c r="B495" s="1">
        <v>45098</v>
      </c>
      <c r="C495" t="s">
        <v>13</v>
      </c>
      <c r="D495" t="s">
        <v>20</v>
      </c>
      <c r="E495">
        <v>46</v>
      </c>
      <c r="F495" t="s">
        <v>34</v>
      </c>
      <c r="G495">
        <v>984.53</v>
      </c>
      <c r="H495">
        <v>1138.49</v>
      </c>
      <c r="I495" t="s">
        <v>29</v>
      </c>
      <c r="J495">
        <v>0.04</v>
      </c>
      <c r="K495" t="s">
        <v>26</v>
      </c>
      <c r="L495" t="s">
        <v>18</v>
      </c>
      <c r="M495" t="s">
        <v>22</v>
      </c>
      <c r="N495">
        <f>sales_data_1[[#This Row],[Unit_Price]]-sales_data_1[[#This Row],[Unit_Cost]]</f>
        <v>153.96000000000004</v>
      </c>
      <c r="O495">
        <f>sales_data_1[[#This Row],[Unit_Price]]*sales_data_1[[#This Row],[Quantity_Sold]]</f>
        <v>52370.54</v>
      </c>
      <c r="P495">
        <f>sales_data_1[[#This Row],[Unit - cost]]*sales_data_1[[#This Row],[Quantity_Sold]]</f>
        <v>7082.1600000000017</v>
      </c>
    </row>
    <row r="496" spans="1:16" x14ac:dyDescent="0.3">
      <c r="A496">
        <v>1063</v>
      </c>
      <c r="B496" s="1">
        <v>45028</v>
      </c>
      <c r="C496" t="s">
        <v>32</v>
      </c>
      <c r="D496" t="s">
        <v>14</v>
      </c>
      <c r="E496">
        <v>40</v>
      </c>
      <c r="F496" t="s">
        <v>34</v>
      </c>
      <c r="G496">
        <v>2101.3200000000002</v>
      </c>
      <c r="H496">
        <v>2440.63</v>
      </c>
      <c r="I496" t="s">
        <v>29</v>
      </c>
      <c r="J496">
        <v>0.26</v>
      </c>
      <c r="K496" t="s">
        <v>26</v>
      </c>
      <c r="L496" t="s">
        <v>21</v>
      </c>
      <c r="M496" t="s">
        <v>52</v>
      </c>
      <c r="N496">
        <f>sales_data_1[[#This Row],[Unit_Price]]-sales_data_1[[#This Row],[Unit_Cost]]</f>
        <v>339.30999999999995</v>
      </c>
      <c r="O496">
        <f>sales_data_1[[#This Row],[Unit_Price]]*sales_data_1[[#This Row],[Quantity_Sold]]</f>
        <v>97625.200000000012</v>
      </c>
      <c r="P496">
        <f>sales_data_1[[#This Row],[Unit - cost]]*sales_data_1[[#This Row],[Quantity_Sold]]</f>
        <v>13572.399999999998</v>
      </c>
    </row>
    <row r="497" spans="1:16" x14ac:dyDescent="0.3">
      <c r="A497">
        <v>1069</v>
      </c>
      <c r="B497" s="1">
        <v>45280</v>
      </c>
      <c r="C497" t="s">
        <v>37</v>
      </c>
      <c r="D497" t="s">
        <v>14</v>
      </c>
      <c r="E497">
        <v>12</v>
      </c>
      <c r="F497" t="s">
        <v>15</v>
      </c>
      <c r="G497">
        <v>4682.34</v>
      </c>
      <c r="H497">
        <v>5036.4000000000015</v>
      </c>
      <c r="I497" t="s">
        <v>29</v>
      </c>
      <c r="J497">
        <v>0.2</v>
      </c>
      <c r="K497" t="s">
        <v>26</v>
      </c>
      <c r="L497" t="s">
        <v>21</v>
      </c>
      <c r="M497" t="s">
        <v>39</v>
      </c>
      <c r="N497">
        <f>sales_data_1[[#This Row],[Unit_Price]]-sales_data_1[[#This Row],[Unit_Cost]]</f>
        <v>354.06000000000131</v>
      </c>
      <c r="O497">
        <f>sales_data_1[[#This Row],[Unit_Price]]*sales_data_1[[#This Row],[Quantity_Sold]]</f>
        <v>60436.800000000017</v>
      </c>
      <c r="P497">
        <f>sales_data_1[[#This Row],[Unit - cost]]*sales_data_1[[#This Row],[Quantity_Sold]]</f>
        <v>4248.7200000000157</v>
      </c>
    </row>
    <row r="498" spans="1:16" x14ac:dyDescent="0.3">
      <c r="A498">
        <v>1022</v>
      </c>
      <c r="B498" s="1">
        <v>44938</v>
      </c>
      <c r="C498" t="s">
        <v>37</v>
      </c>
      <c r="D498" t="s">
        <v>33</v>
      </c>
      <c r="E498">
        <v>13</v>
      </c>
      <c r="F498" t="s">
        <v>25</v>
      </c>
      <c r="G498">
        <v>2312.4499999999998</v>
      </c>
      <c r="H498">
        <v>2504.6</v>
      </c>
      <c r="I498" t="s">
        <v>16</v>
      </c>
      <c r="J498">
        <v>0.06</v>
      </c>
      <c r="K498" t="s">
        <v>26</v>
      </c>
      <c r="L498" t="s">
        <v>18</v>
      </c>
      <c r="M498" t="s">
        <v>47</v>
      </c>
      <c r="N498">
        <f>sales_data_1[[#This Row],[Unit_Price]]-sales_data_1[[#This Row],[Unit_Cost]]</f>
        <v>192.15000000000009</v>
      </c>
      <c r="O498">
        <f>sales_data_1[[#This Row],[Unit_Price]]*sales_data_1[[#This Row],[Quantity_Sold]]</f>
        <v>32559.8</v>
      </c>
      <c r="P498">
        <f>sales_data_1[[#This Row],[Unit - cost]]*sales_data_1[[#This Row],[Quantity_Sold]]</f>
        <v>2497.9500000000012</v>
      </c>
    </row>
    <row r="499" spans="1:16" x14ac:dyDescent="0.3">
      <c r="A499">
        <v>1093</v>
      </c>
      <c r="B499" s="1">
        <v>45201</v>
      </c>
      <c r="C499" t="s">
        <v>13</v>
      </c>
      <c r="D499" t="s">
        <v>20</v>
      </c>
      <c r="E499">
        <v>43</v>
      </c>
      <c r="F499" t="s">
        <v>34</v>
      </c>
      <c r="G499">
        <v>1486.76</v>
      </c>
      <c r="H499">
        <v>1505.44</v>
      </c>
      <c r="I499" t="s">
        <v>29</v>
      </c>
      <c r="J499">
        <v>0.08</v>
      </c>
      <c r="K499" t="s">
        <v>17</v>
      </c>
      <c r="L499" t="s">
        <v>21</v>
      </c>
      <c r="M499" t="s">
        <v>22</v>
      </c>
      <c r="N499">
        <f>sales_data_1[[#This Row],[Unit_Price]]-sales_data_1[[#This Row],[Unit_Cost]]</f>
        <v>18.680000000000064</v>
      </c>
      <c r="O499">
        <f>sales_data_1[[#This Row],[Unit_Price]]*sales_data_1[[#This Row],[Quantity_Sold]]</f>
        <v>64733.920000000006</v>
      </c>
      <c r="P499">
        <f>sales_data_1[[#This Row],[Unit - cost]]*sales_data_1[[#This Row],[Quantity_Sold]]</f>
        <v>803.24000000000274</v>
      </c>
    </row>
    <row r="500" spans="1:16" x14ac:dyDescent="0.3">
      <c r="A500">
        <v>1067</v>
      </c>
      <c r="B500" s="1">
        <v>45027</v>
      </c>
      <c r="C500" t="s">
        <v>13</v>
      </c>
      <c r="D500" t="s">
        <v>33</v>
      </c>
      <c r="E500">
        <v>17</v>
      </c>
      <c r="F500" t="s">
        <v>25</v>
      </c>
      <c r="G500">
        <v>2831.58</v>
      </c>
      <c r="H500">
        <v>3186.15</v>
      </c>
      <c r="I500" t="s">
        <v>29</v>
      </c>
      <c r="J500">
        <v>0.24</v>
      </c>
      <c r="K500" t="s">
        <v>26</v>
      </c>
      <c r="L500" t="s">
        <v>21</v>
      </c>
      <c r="M500" t="s">
        <v>45</v>
      </c>
      <c r="N500">
        <f>sales_data_1[[#This Row],[Unit_Price]]-sales_data_1[[#This Row],[Unit_Cost]]</f>
        <v>354.57000000000016</v>
      </c>
      <c r="O500">
        <f>sales_data_1[[#This Row],[Unit_Price]]*sales_data_1[[#This Row],[Quantity_Sold]]</f>
        <v>54164.55</v>
      </c>
      <c r="P500">
        <f>sales_data_1[[#This Row],[Unit - cost]]*sales_data_1[[#This Row],[Quantity_Sold]]</f>
        <v>6027.6900000000023</v>
      </c>
    </row>
    <row r="501" spans="1:16" x14ac:dyDescent="0.3">
      <c r="A501">
        <v>1076</v>
      </c>
      <c r="B501" s="1">
        <v>44970</v>
      </c>
      <c r="C501" t="s">
        <v>37</v>
      </c>
      <c r="D501" t="s">
        <v>14</v>
      </c>
      <c r="E501">
        <v>17</v>
      </c>
      <c r="F501" t="s">
        <v>28</v>
      </c>
      <c r="G501">
        <v>604.08000000000004</v>
      </c>
      <c r="H501">
        <v>624.71</v>
      </c>
      <c r="I501" t="s">
        <v>29</v>
      </c>
      <c r="J501">
        <v>0.14000000000000001</v>
      </c>
      <c r="K501" t="s">
        <v>26</v>
      </c>
      <c r="L501" t="s">
        <v>21</v>
      </c>
      <c r="M501" t="s">
        <v>39</v>
      </c>
      <c r="N501">
        <f>sales_data_1[[#This Row],[Unit_Price]]-sales_data_1[[#This Row],[Unit_Cost]]</f>
        <v>20.629999999999995</v>
      </c>
      <c r="O501">
        <f>sales_data_1[[#This Row],[Unit_Price]]*sales_data_1[[#This Row],[Quantity_Sold]]</f>
        <v>10620.07</v>
      </c>
      <c r="P501">
        <f>sales_data_1[[#This Row],[Unit - cost]]*sales_data_1[[#This Row],[Quantity_Sold]]</f>
        <v>350.70999999999992</v>
      </c>
    </row>
    <row r="502" spans="1:16" x14ac:dyDescent="0.3">
      <c r="A502">
        <v>1026</v>
      </c>
      <c r="B502" s="1">
        <v>45231</v>
      </c>
      <c r="C502" t="s">
        <v>41</v>
      </c>
      <c r="D502" t="s">
        <v>24</v>
      </c>
      <c r="E502">
        <v>36</v>
      </c>
      <c r="F502" t="s">
        <v>28</v>
      </c>
      <c r="G502">
        <v>3067.05</v>
      </c>
      <c r="H502">
        <v>3386.33</v>
      </c>
      <c r="I502" t="s">
        <v>29</v>
      </c>
      <c r="J502">
        <v>0.2</v>
      </c>
      <c r="K502" t="s">
        <v>26</v>
      </c>
      <c r="L502" t="s">
        <v>18</v>
      </c>
      <c r="M502" t="s">
        <v>42</v>
      </c>
      <c r="N502">
        <f>sales_data_1[[#This Row],[Unit_Price]]-sales_data_1[[#This Row],[Unit_Cost]]</f>
        <v>319.27999999999975</v>
      </c>
      <c r="O502">
        <f>sales_data_1[[#This Row],[Unit_Price]]*sales_data_1[[#This Row],[Quantity_Sold]]</f>
        <v>121907.88</v>
      </c>
      <c r="P502">
        <f>sales_data_1[[#This Row],[Unit - cost]]*sales_data_1[[#This Row],[Quantity_Sold]]</f>
        <v>11494.079999999991</v>
      </c>
    </row>
    <row r="503" spans="1:16" x14ac:dyDescent="0.3">
      <c r="A503">
        <v>1016</v>
      </c>
      <c r="B503" s="1">
        <v>44943</v>
      </c>
      <c r="C503" t="s">
        <v>37</v>
      </c>
      <c r="D503" t="s">
        <v>20</v>
      </c>
      <c r="E503">
        <v>21</v>
      </c>
      <c r="F503" t="s">
        <v>34</v>
      </c>
      <c r="G503">
        <v>2863.74</v>
      </c>
      <c r="H503">
        <v>2953.91</v>
      </c>
      <c r="I503" t="s">
        <v>29</v>
      </c>
      <c r="J503">
        <v>0.1</v>
      </c>
      <c r="K503" t="s">
        <v>26</v>
      </c>
      <c r="L503" t="s">
        <v>21</v>
      </c>
      <c r="M503" t="s">
        <v>40</v>
      </c>
      <c r="N503">
        <f>sales_data_1[[#This Row],[Unit_Price]]-sales_data_1[[#This Row],[Unit_Cost]]</f>
        <v>90.170000000000073</v>
      </c>
      <c r="O503">
        <f>sales_data_1[[#This Row],[Unit_Price]]*sales_data_1[[#This Row],[Quantity_Sold]]</f>
        <v>62032.11</v>
      </c>
      <c r="P503">
        <f>sales_data_1[[#This Row],[Unit - cost]]*sales_data_1[[#This Row],[Quantity_Sold]]</f>
        <v>1893.5700000000015</v>
      </c>
    </row>
    <row r="504" spans="1:16" x14ac:dyDescent="0.3">
      <c r="A504">
        <v>1051</v>
      </c>
      <c r="B504" s="1">
        <v>45256</v>
      </c>
      <c r="C504" t="s">
        <v>37</v>
      </c>
      <c r="D504" t="s">
        <v>24</v>
      </c>
      <c r="E504">
        <v>8</v>
      </c>
      <c r="F504" t="s">
        <v>25</v>
      </c>
      <c r="G504">
        <v>3970.37</v>
      </c>
      <c r="H504">
        <v>4257.5199999999995</v>
      </c>
      <c r="I504" t="s">
        <v>29</v>
      </c>
      <c r="J504">
        <v>0.11</v>
      </c>
      <c r="K504" t="s">
        <v>17</v>
      </c>
      <c r="L504" t="s">
        <v>21</v>
      </c>
      <c r="M504" t="s">
        <v>38</v>
      </c>
      <c r="N504">
        <f>sales_data_1[[#This Row],[Unit_Price]]-sales_data_1[[#This Row],[Unit_Cost]]</f>
        <v>287.14999999999964</v>
      </c>
      <c r="O504">
        <f>sales_data_1[[#This Row],[Unit_Price]]*sales_data_1[[#This Row],[Quantity_Sold]]</f>
        <v>34060.159999999996</v>
      </c>
      <c r="P504">
        <f>sales_data_1[[#This Row],[Unit - cost]]*sales_data_1[[#This Row],[Quantity_Sold]]</f>
        <v>2297.1999999999971</v>
      </c>
    </row>
    <row r="505" spans="1:16" x14ac:dyDescent="0.3">
      <c r="A505">
        <v>1086</v>
      </c>
      <c r="B505" s="1">
        <v>44983</v>
      </c>
      <c r="C505" t="s">
        <v>13</v>
      </c>
      <c r="D505" t="s">
        <v>20</v>
      </c>
      <c r="E505">
        <v>5</v>
      </c>
      <c r="F505" t="s">
        <v>34</v>
      </c>
      <c r="G505">
        <v>4934.1000000000004</v>
      </c>
      <c r="H505">
        <v>5191.0200000000004</v>
      </c>
      <c r="I505" t="s">
        <v>29</v>
      </c>
      <c r="J505">
        <v>0.3</v>
      </c>
      <c r="K505" t="s">
        <v>26</v>
      </c>
      <c r="L505" t="s">
        <v>18</v>
      </c>
      <c r="M505" t="s">
        <v>22</v>
      </c>
      <c r="N505">
        <f>sales_data_1[[#This Row],[Unit_Price]]-sales_data_1[[#This Row],[Unit_Cost]]</f>
        <v>256.92000000000007</v>
      </c>
      <c r="O505">
        <f>sales_data_1[[#This Row],[Unit_Price]]*sales_data_1[[#This Row],[Quantity_Sold]]</f>
        <v>25955.100000000002</v>
      </c>
      <c r="P505">
        <f>sales_data_1[[#This Row],[Unit - cost]]*sales_data_1[[#This Row],[Quantity_Sold]]</f>
        <v>1284.6000000000004</v>
      </c>
    </row>
    <row r="506" spans="1:16" x14ac:dyDescent="0.3">
      <c r="A506">
        <v>1057</v>
      </c>
      <c r="B506" s="1">
        <v>45237</v>
      </c>
      <c r="C506" t="s">
        <v>13</v>
      </c>
      <c r="D506" t="s">
        <v>33</v>
      </c>
      <c r="E506">
        <v>26</v>
      </c>
      <c r="F506" t="s">
        <v>28</v>
      </c>
      <c r="G506">
        <v>1291.82</v>
      </c>
      <c r="H506">
        <v>1308.4399999999998</v>
      </c>
      <c r="I506" t="s">
        <v>16</v>
      </c>
      <c r="J506">
        <v>7.0000000000000007E-2</v>
      </c>
      <c r="K506" t="s">
        <v>30</v>
      </c>
      <c r="L506" t="s">
        <v>18</v>
      </c>
      <c r="M506" t="s">
        <v>45</v>
      </c>
      <c r="N506">
        <f>sales_data_1[[#This Row],[Unit_Price]]-sales_data_1[[#This Row],[Unit_Cost]]</f>
        <v>16.619999999999891</v>
      </c>
      <c r="O506">
        <f>sales_data_1[[#This Row],[Unit_Price]]*sales_data_1[[#This Row],[Quantity_Sold]]</f>
        <v>34019.439999999995</v>
      </c>
      <c r="P506">
        <f>sales_data_1[[#This Row],[Unit - cost]]*sales_data_1[[#This Row],[Quantity_Sold]]</f>
        <v>432.11999999999716</v>
      </c>
    </row>
    <row r="507" spans="1:16" x14ac:dyDescent="0.3">
      <c r="A507">
        <v>1029</v>
      </c>
      <c r="B507" s="1">
        <v>45229</v>
      </c>
      <c r="C507" t="s">
        <v>37</v>
      </c>
      <c r="D507" t="s">
        <v>33</v>
      </c>
      <c r="E507">
        <v>16</v>
      </c>
      <c r="F507" t="s">
        <v>34</v>
      </c>
      <c r="G507">
        <v>2572.8000000000002</v>
      </c>
      <c r="H507">
        <v>2760.6000000000004</v>
      </c>
      <c r="I507" t="s">
        <v>16</v>
      </c>
      <c r="J507">
        <v>0.15</v>
      </c>
      <c r="K507" t="s">
        <v>30</v>
      </c>
      <c r="L507" t="s">
        <v>21</v>
      </c>
      <c r="M507" t="s">
        <v>47</v>
      </c>
      <c r="N507">
        <f>sales_data_1[[#This Row],[Unit_Price]]-sales_data_1[[#This Row],[Unit_Cost]]</f>
        <v>187.80000000000018</v>
      </c>
      <c r="O507">
        <f>sales_data_1[[#This Row],[Unit_Price]]*sales_data_1[[#This Row],[Quantity_Sold]]</f>
        <v>44169.600000000006</v>
      </c>
      <c r="P507">
        <f>sales_data_1[[#This Row],[Unit - cost]]*sales_data_1[[#This Row],[Quantity_Sold]]</f>
        <v>3004.8000000000029</v>
      </c>
    </row>
    <row r="508" spans="1:16" x14ac:dyDescent="0.3">
      <c r="A508">
        <v>1078</v>
      </c>
      <c r="B508" s="1">
        <v>44938</v>
      </c>
      <c r="C508" t="s">
        <v>37</v>
      </c>
      <c r="D508" t="s">
        <v>33</v>
      </c>
      <c r="E508">
        <v>36</v>
      </c>
      <c r="F508" t="s">
        <v>25</v>
      </c>
      <c r="G508">
        <v>4548.88</v>
      </c>
      <c r="H508">
        <v>4853.41</v>
      </c>
      <c r="I508" t="s">
        <v>16</v>
      </c>
      <c r="J508">
        <v>0.25</v>
      </c>
      <c r="K508" t="s">
        <v>30</v>
      </c>
      <c r="L508" t="s">
        <v>21</v>
      </c>
      <c r="M508" t="s">
        <v>47</v>
      </c>
      <c r="N508">
        <f>sales_data_1[[#This Row],[Unit_Price]]-sales_data_1[[#This Row],[Unit_Cost]]</f>
        <v>304.52999999999975</v>
      </c>
      <c r="O508">
        <f>sales_data_1[[#This Row],[Unit_Price]]*sales_data_1[[#This Row],[Quantity_Sold]]</f>
        <v>174722.76</v>
      </c>
      <c r="P508">
        <f>sales_data_1[[#This Row],[Unit - cost]]*sales_data_1[[#This Row],[Quantity_Sold]]</f>
        <v>10963.079999999991</v>
      </c>
    </row>
    <row r="509" spans="1:16" x14ac:dyDescent="0.3">
      <c r="A509">
        <v>1092</v>
      </c>
      <c r="B509" s="1">
        <v>45244</v>
      </c>
      <c r="C509" t="s">
        <v>37</v>
      </c>
      <c r="D509" t="s">
        <v>33</v>
      </c>
      <c r="E509">
        <v>28</v>
      </c>
      <c r="F509" t="s">
        <v>28</v>
      </c>
      <c r="G509">
        <v>3936.69</v>
      </c>
      <c r="H509">
        <v>4362.51</v>
      </c>
      <c r="I509" t="s">
        <v>16</v>
      </c>
      <c r="J509">
        <v>7.0000000000000007E-2</v>
      </c>
      <c r="K509" t="s">
        <v>30</v>
      </c>
      <c r="L509" t="s">
        <v>21</v>
      </c>
      <c r="M509" t="s">
        <v>47</v>
      </c>
      <c r="N509">
        <f>sales_data_1[[#This Row],[Unit_Price]]-sales_data_1[[#This Row],[Unit_Cost]]</f>
        <v>425.82000000000016</v>
      </c>
      <c r="O509">
        <f>sales_data_1[[#This Row],[Unit_Price]]*sales_data_1[[#This Row],[Quantity_Sold]]</f>
        <v>122150.28</v>
      </c>
      <c r="P509">
        <f>sales_data_1[[#This Row],[Unit - cost]]*sales_data_1[[#This Row],[Quantity_Sold]]</f>
        <v>11922.960000000005</v>
      </c>
    </row>
    <row r="510" spans="1:16" x14ac:dyDescent="0.3">
      <c r="A510">
        <v>1069</v>
      </c>
      <c r="B510" s="1">
        <v>45006</v>
      </c>
      <c r="C510" t="s">
        <v>13</v>
      </c>
      <c r="D510" t="s">
        <v>33</v>
      </c>
      <c r="E510">
        <v>29</v>
      </c>
      <c r="F510" t="s">
        <v>15</v>
      </c>
      <c r="G510">
        <v>2462.66</v>
      </c>
      <c r="H510">
        <v>2908.0899999999997</v>
      </c>
      <c r="I510" t="s">
        <v>29</v>
      </c>
      <c r="J510">
        <v>0.12</v>
      </c>
      <c r="K510" t="s">
        <v>30</v>
      </c>
      <c r="L510" t="s">
        <v>18</v>
      </c>
      <c r="M510" t="s">
        <v>45</v>
      </c>
      <c r="N510">
        <f>sales_data_1[[#This Row],[Unit_Price]]-sales_data_1[[#This Row],[Unit_Cost]]</f>
        <v>445.42999999999984</v>
      </c>
      <c r="O510">
        <f>sales_data_1[[#This Row],[Unit_Price]]*sales_data_1[[#This Row],[Quantity_Sold]]</f>
        <v>84334.609999999986</v>
      </c>
      <c r="P510">
        <f>sales_data_1[[#This Row],[Unit - cost]]*sales_data_1[[#This Row],[Quantity_Sold]]</f>
        <v>12917.469999999996</v>
      </c>
    </row>
    <row r="511" spans="1:16" x14ac:dyDescent="0.3">
      <c r="A511">
        <v>1047</v>
      </c>
      <c r="B511" s="1">
        <v>45142</v>
      </c>
      <c r="C511" t="s">
        <v>37</v>
      </c>
      <c r="D511" t="s">
        <v>24</v>
      </c>
      <c r="E511">
        <v>47</v>
      </c>
      <c r="F511" t="s">
        <v>28</v>
      </c>
      <c r="G511">
        <v>4729.59</v>
      </c>
      <c r="H511">
        <v>4976.68</v>
      </c>
      <c r="I511" t="s">
        <v>16</v>
      </c>
      <c r="J511">
        <v>0.18</v>
      </c>
      <c r="K511" t="s">
        <v>30</v>
      </c>
      <c r="L511" t="s">
        <v>21</v>
      </c>
      <c r="M511" t="s">
        <v>38</v>
      </c>
      <c r="N511">
        <f>sales_data_1[[#This Row],[Unit_Price]]-sales_data_1[[#This Row],[Unit_Cost]]</f>
        <v>247.09000000000015</v>
      </c>
      <c r="O511">
        <f>sales_data_1[[#This Row],[Unit_Price]]*sales_data_1[[#This Row],[Quantity_Sold]]</f>
        <v>233903.96000000002</v>
      </c>
      <c r="P511">
        <f>sales_data_1[[#This Row],[Unit - cost]]*sales_data_1[[#This Row],[Quantity_Sold]]</f>
        <v>11613.230000000007</v>
      </c>
    </row>
    <row r="512" spans="1:16" x14ac:dyDescent="0.3">
      <c r="A512">
        <v>1094</v>
      </c>
      <c r="B512" s="1">
        <v>45265</v>
      </c>
      <c r="C512" t="s">
        <v>37</v>
      </c>
      <c r="D512" t="s">
        <v>33</v>
      </c>
      <c r="E512">
        <v>12</v>
      </c>
      <c r="F512" t="s">
        <v>15</v>
      </c>
      <c r="G512">
        <v>333.32</v>
      </c>
      <c r="H512">
        <v>700.25</v>
      </c>
      <c r="I512" t="s">
        <v>16</v>
      </c>
      <c r="J512">
        <v>0.14000000000000001</v>
      </c>
      <c r="K512" t="s">
        <v>17</v>
      </c>
      <c r="L512" t="s">
        <v>18</v>
      </c>
      <c r="M512" t="s">
        <v>47</v>
      </c>
      <c r="N512">
        <f>sales_data_1[[#This Row],[Unit_Price]]-sales_data_1[[#This Row],[Unit_Cost]]</f>
        <v>366.93</v>
      </c>
      <c r="O512">
        <f>sales_data_1[[#This Row],[Unit_Price]]*sales_data_1[[#This Row],[Quantity_Sold]]</f>
        <v>8403</v>
      </c>
      <c r="P512">
        <f>sales_data_1[[#This Row],[Unit - cost]]*sales_data_1[[#This Row],[Quantity_Sold]]</f>
        <v>4403.16</v>
      </c>
    </row>
    <row r="513" spans="1:16" x14ac:dyDescent="0.3">
      <c r="A513">
        <v>1062</v>
      </c>
      <c r="B513" s="1">
        <v>45190</v>
      </c>
      <c r="C513" t="s">
        <v>23</v>
      </c>
      <c r="D513" t="s">
        <v>14</v>
      </c>
      <c r="E513">
        <v>37</v>
      </c>
      <c r="F513" t="s">
        <v>34</v>
      </c>
      <c r="G513">
        <v>4658.4399999999996</v>
      </c>
      <c r="H513">
        <v>4823.5</v>
      </c>
      <c r="I513" t="s">
        <v>16</v>
      </c>
      <c r="J513">
        <v>0.14000000000000001</v>
      </c>
      <c r="K513" t="s">
        <v>30</v>
      </c>
      <c r="L513" t="s">
        <v>18</v>
      </c>
      <c r="M513" t="s">
        <v>44</v>
      </c>
      <c r="N513">
        <f>sales_data_1[[#This Row],[Unit_Price]]-sales_data_1[[#This Row],[Unit_Cost]]</f>
        <v>165.0600000000004</v>
      </c>
      <c r="O513">
        <f>sales_data_1[[#This Row],[Unit_Price]]*sales_data_1[[#This Row],[Quantity_Sold]]</f>
        <v>178469.5</v>
      </c>
      <c r="P513">
        <f>sales_data_1[[#This Row],[Unit - cost]]*sales_data_1[[#This Row],[Quantity_Sold]]</f>
        <v>6107.2200000000148</v>
      </c>
    </row>
    <row r="514" spans="1:16" x14ac:dyDescent="0.3">
      <c r="A514">
        <v>1069</v>
      </c>
      <c r="B514" s="1">
        <v>45075</v>
      </c>
      <c r="C514" t="s">
        <v>41</v>
      </c>
      <c r="D514" t="s">
        <v>14</v>
      </c>
      <c r="E514">
        <v>30</v>
      </c>
      <c r="F514" t="s">
        <v>34</v>
      </c>
      <c r="G514">
        <v>300.01</v>
      </c>
      <c r="H514">
        <v>477.67999999999995</v>
      </c>
      <c r="I514" t="s">
        <v>29</v>
      </c>
      <c r="J514">
        <v>0.11</v>
      </c>
      <c r="K514" t="s">
        <v>26</v>
      </c>
      <c r="L514" t="s">
        <v>21</v>
      </c>
      <c r="M514" t="s">
        <v>48</v>
      </c>
      <c r="N514">
        <f>sales_data_1[[#This Row],[Unit_Price]]-sales_data_1[[#This Row],[Unit_Cost]]</f>
        <v>177.66999999999996</v>
      </c>
      <c r="O514">
        <f>sales_data_1[[#This Row],[Unit_Price]]*sales_data_1[[#This Row],[Quantity_Sold]]</f>
        <v>14330.399999999998</v>
      </c>
      <c r="P514">
        <f>sales_data_1[[#This Row],[Unit - cost]]*sales_data_1[[#This Row],[Quantity_Sold]]</f>
        <v>5330.0999999999985</v>
      </c>
    </row>
    <row r="515" spans="1:16" x14ac:dyDescent="0.3">
      <c r="A515">
        <v>1076</v>
      </c>
      <c r="B515" s="1">
        <v>45007</v>
      </c>
      <c r="C515" t="s">
        <v>32</v>
      </c>
      <c r="D515" t="s">
        <v>24</v>
      </c>
      <c r="E515">
        <v>23</v>
      </c>
      <c r="F515" t="s">
        <v>25</v>
      </c>
      <c r="G515">
        <v>2759.16</v>
      </c>
      <c r="H515">
        <v>2864.45</v>
      </c>
      <c r="I515" t="s">
        <v>16</v>
      </c>
      <c r="J515">
        <v>0.18</v>
      </c>
      <c r="K515" t="s">
        <v>30</v>
      </c>
      <c r="L515" t="s">
        <v>21</v>
      </c>
      <c r="M515" t="s">
        <v>43</v>
      </c>
      <c r="N515">
        <f>sales_data_1[[#This Row],[Unit_Price]]-sales_data_1[[#This Row],[Unit_Cost]]</f>
        <v>105.28999999999996</v>
      </c>
      <c r="O515">
        <f>sales_data_1[[#This Row],[Unit_Price]]*sales_data_1[[#This Row],[Quantity_Sold]]</f>
        <v>65882.349999999991</v>
      </c>
      <c r="P515">
        <f>sales_data_1[[#This Row],[Unit - cost]]*sales_data_1[[#This Row],[Quantity_Sold]]</f>
        <v>2421.6699999999992</v>
      </c>
    </row>
    <row r="516" spans="1:16" x14ac:dyDescent="0.3">
      <c r="A516">
        <v>1016</v>
      </c>
      <c r="B516" s="1">
        <v>45141</v>
      </c>
      <c r="C516" t="s">
        <v>41</v>
      </c>
      <c r="D516" t="s">
        <v>20</v>
      </c>
      <c r="E516">
        <v>16</v>
      </c>
      <c r="F516" t="s">
        <v>15</v>
      </c>
      <c r="G516">
        <v>4457.68</v>
      </c>
      <c r="H516">
        <v>4743.0300000000007</v>
      </c>
      <c r="I516" t="s">
        <v>16</v>
      </c>
      <c r="J516">
        <v>0.19</v>
      </c>
      <c r="K516" t="s">
        <v>17</v>
      </c>
      <c r="L516" t="s">
        <v>18</v>
      </c>
      <c r="M516" t="s">
        <v>50</v>
      </c>
      <c r="N516">
        <f>sales_data_1[[#This Row],[Unit_Price]]-sales_data_1[[#This Row],[Unit_Cost]]</f>
        <v>285.35000000000036</v>
      </c>
      <c r="O516">
        <f>sales_data_1[[#This Row],[Unit_Price]]*sales_data_1[[#This Row],[Quantity_Sold]]</f>
        <v>75888.48000000001</v>
      </c>
      <c r="P516">
        <f>sales_data_1[[#This Row],[Unit - cost]]*sales_data_1[[#This Row],[Quantity_Sold]]</f>
        <v>4565.6000000000058</v>
      </c>
    </row>
    <row r="517" spans="1:16" x14ac:dyDescent="0.3">
      <c r="A517">
        <v>1090</v>
      </c>
      <c r="B517" s="1">
        <v>45124</v>
      </c>
      <c r="C517" t="s">
        <v>23</v>
      </c>
      <c r="D517" t="s">
        <v>14</v>
      </c>
      <c r="E517">
        <v>14</v>
      </c>
      <c r="F517" t="s">
        <v>34</v>
      </c>
      <c r="G517">
        <v>1350.47</v>
      </c>
      <c r="H517">
        <v>1514.6100000000001</v>
      </c>
      <c r="I517" t="s">
        <v>29</v>
      </c>
      <c r="J517">
        <v>0.2</v>
      </c>
      <c r="K517" t="s">
        <v>30</v>
      </c>
      <c r="L517" t="s">
        <v>21</v>
      </c>
      <c r="M517" t="s">
        <v>44</v>
      </c>
      <c r="N517">
        <f>sales_data_1[[#This Row],[Unit_Price]]-sales_data_1[[#This Row],[Unit_Cost]]</f>
        <v>164.1400000000001</v>
      </c>
      <c r="O517">
        <f>sales_data_1[[#This Row],[Unit_Price]]*sales_data_1[[#This Row],[Quantity_Sold]]</f>
        <v>21204.54</v>
      </c>
      <c r="P517">
        <f>sales_data_1[[#This Row],[Unit - cost]]*sales_data_1[[#This Row],[Quantity_Sold]]</f>
        <v>2297.9600000000014</v>
      </c>
    </row>
    <row r="518" spans="1:16" x14ac:dyDescent="0.3">
      <c r="A518">
        <v>1090</v>
      </c>
      <c r="B518" s="1">
        <v>45126</v>
      </c>
      <c r="C518" t="s">
        <v>32</v>
      </c>
      <c r="D518" t="s">
        <v>20</v>
      </c>
      <c r="E518">
        <v>10</v>
      </c>
      <c r="F518" t="s">
        <v>15</v>
      </c>
      <c r="G518">
        <v>2387.63</v>
      </c>
      <c r="H518">
        <v>2438.9700000000003</v>
      </c>
      <c r="I518" t="s">
        <v>16</v>
      </c>
      <c r="J518">
        <v>0.02</v>
      </c>
      <c r="K518" t="s">
        <v>26</v>
      </c>
      <c r="L518" t="s">
        <v>21</v>
      </c>
      <c r="M518" t="s">
        <v>36</v>
      </c>
      <c r="N518">
        <f>sales_data_1[[#This Row],[Unit_Price]]-sales_data_1[[#This Row],[Unit_Cost]]</f>
        <v>51.340000000000146</v>
      </c>
      <c r="O518">
        <f>sales_data_1[[#This Row],[Unit_Price]]*sales_data_1[[#This Row],[Quantity_Sold]]</f>
        <v>24389.700000000004</v>
      </c>
      <c r="P518">
        <f>sales_data_1[[#This Row],[Unit - cost]]*sales_data_1[[#This Row],[Quantity_Sold]]</f>
        <v>513.40000000000146</v>
      </c>
    </row>
    <row r="519" spans="1:16" x14ac:dyDescent="0.3">
      <c r="A519">
        <v>1048</v>
      </c>
      <c r="B519" s="1">
        <v>44951</v>
      </c>
      <c r="C519" t="s">
        <v>37</v>
      </c>
      <c r="D519" t="s">
        <v>24</v>
      </c>
      <c r="E519">
        <v>7</v>
      </c>
      <c r="F519" t="s">
        <v>34</v>
      </c>
      <c r="G519">
        <v>1655.43</v>
      </c>
      <c r="H519">
        <v>2001.08</v>
      </c>
      <c r="I519" t="s">
        <v>29</v>
      </c>
      <c r="J519">
        <v>0.19</v>
      </c>
      <c r="K519" t="s">
        <v>26</v>
      </c>
      <c r="L519" t="s">
        <v>18</v>
      </c>
      <c r="M519" t="s">
        <v>38</v>
      </c>
      <c r="N519">
        <f>sales_data_1[[#This Row],[Unit_Price]]-sales_data_1[[#This Row],[Unit_Cost]]</f>
        <v>345.64999999999986</v>
      </c>
      <c r="O519">
        <f>sales_data_1[[#This Row],[Unit_Price]]*sales_data_1[[#This Row],[Quantity_Sold]]</f>
        <v>14007.56</v>
      </c>
      <c r="P519">
        <f>sales_data_1[[#This Row],[Unit - cost]]*sales_data_1[[#This Row],[Quantity_Sold]]</f>
        <v>2419.5499999999993</v>
      </c>
    </row>
    <row r="520" spans="1:16" x14ac:dyDescent="0.3">
      <c r="A520">
        <v>1085</v>
      </c>
      <c r="B520" s="1">
        <v>45015</v>
      </c>
      <c r="C520" t="s">
        <v>23</v>
      </c>
      <c r="D520" t="s">
        <v>20</v>
      </c>
      <c r="E520">
        <v>45</v>
      </c>
      <c r="F520" t="s">
        <v>28</v>
      </c>
      <c r="G520">
        <v>4763.1099999999997</v>
      </c>
      <c r="H520">
        <v>5119.91</v>
      </c>
      <c r="I520" t="s">
        <v>16</v>
      </c>
      <c r="J520">
        <v>0.28999999999999998</v>
      </c>
      <c r="K520" t="s">
        <v>17</v>
      </c>
      <c r="L520" t="s">
        <v>21</v>
      </c>
      <c r="M520" t="s">
        <v>46</v>
      </c>
      <c r="N520">
        <f>sales_data_1[[#This Row],[Unit_Price]]-sales_data_1[[#This Row],[Unit_Cost]]</f>
        <v>356.80000000000018</v>
      </c>
      <c r="O520">
        <f>sales_data_1[[#This Row],[Unit_Price]]*sales_data_1[[#This Row],[Quantity_Sold]]</f>
        <v>230395.94999999998</v>
      </c>
      <c r="P520">
        <f>sales_data_1[[#This Row],[Unit - cost]]*sales_data_1[[#This Row],[Quantity_Sold]]</f>
        <v>16056.000000000007</v>
      </c>
    </row>
    <row r="521" spans="1:16" x14ac:dyDescent="0.3">
      <c r="A521">
        <v>1039</v>
      </c>
      <c r="B521" s="1">
        <v>45194</v>
      </c>
      <c r="C521" t="s">
        <v>37</v>
      </c>
      <c r="D521" t="s">
        <v>20</v>
      </c>
      <c r="E521">
        <v>37</v>
      </c>
      <c r="F521" t="s">
        <v>34</v>
      </c>
      <c r="G521">
        <v>4127.05</v>
      </c>
      <c r="H521">
        <v>4313.45</v>
      </c>
      <c r="I521" t="s">
        <v>29</v>
      </c>
      <c r="J521">
        <v>0.16</v>
      </c>
      <c r="K521" t="s">
        <v>17</v>
      </c>
      <c r="L521" t="s">
        <v>18</v>
      </c>
      <c r="M521" t="s">
        <v>40</v>
      </c>
      <c r="N521">
        <f>sales_data_1[[#This Row],[Unit_Price]]-sales_data_1[[#This Row],[Unit_Cost]]</f>
        <v>186.39999999999964</v>
      </c>
      <c r="O521">
        <f>sales_data_1[[#This Row],[Unit_Price]]*sales_data_1[[#This Row],[Quantity_Sold]]</f>
        <v>159597.65</v>
      </c>
      <c r="P521">
        <f>sales_data_1[[#This Row],[Unit - cost]]*sales_data_1[[#This Row],[Quantity_Sold]]</f>
        <v>6896.7999999999865</v>
      </c>
    </row>
    <row r="522" spans="1:16" x14ac:dyDescent="0.3">
      <c r="A522">
        <v>1100</v>
      </c>
      <c r="B522" s="1">
        <v>45069</v>
      </c>
      <c r="C522" t="s">
        <v>13</v>
      </c>
      <c r="D522" t="s">
        <v>20</v>
      </c>
      <c r="E522">
        <v>29</v>
      </c>
      <c r="F522" t="s">
        <v>25</v>
      </c>
      <c r="G522">
        <v>3559.56</v>
      </c>
      <c r="H522">
        <v>3607.15</v>
      </c>
      <c r="I522" t="s">
        <v>16</v>
      </c>
      <c r="J522">
        <v>0.21</v>
      </c>
      <c r="K522" t="s">
        <v>17</v>
      </c>
      <c r="L522" t="s">
        <v>21</v>
      </c>
      <c r="M522" t="s">
        <v>22</v>
      </c>
      <c r="N522">
        <f>sales_data_1[[#This Row],[Unit_Price]]-sales_data_1[[#This Row],[Unit_Cost]]</f>
        <v>47.590000000000146</v>
      </c>
      <c r="O522">
        <f>sales_data_1[[#This Row],[Unit_Price]]*sales_data_1[[#This Row],[Quantity_Sold]]</f>
        <v>104607.35</v>
      </c>
      <c r="P522">
        <f>sales_data_1[[#This Row],[Unit - cost]]*sales_data_1[[#This Row],[Quantity_Sold]]</f>
        <v>1380.1100000000042</v>
      </c>
    </row>
    <row r="523" spans="1:16" x14ac:dyDescent="0.3">
      <c r="A523">
        <v>1033</v>
      </c>
      <c r="B523" s="1">
        <v>44985</v>
      </c>
      <c r="C523" t="s">
        <v>23</v>
      </c>
      <c r="D523" t="s">
        <v>20</v>
      </c>
      <c r="E523">
        <v>3</v>
      </c>
      <c r="F523" t="s">
        <v>28</v>
      </c>
      <c r="G523">
        <v>2958.75</v>
      </c>
      <c r="H523">
        <v>3177.64</v>
      </c>
      <c r="I523" t="s">
        <v>16</v>
      </c>
      <c r="J523">
        <v>0.17</v>
      </c>
      <c r="K523" t="s">
        <v>17</v>
      </c>
      <c r="L523" t="s">
        <v>18</v>
      </c>
      <c r="M523" t="s">
        <v>46</v>
      </c>
      <c r="N523">
        <f>sales_data_1[[#This Row],[Unit_Price]]-sales_data_1[[#This Row],[Unit_Cost]]</f>
        <v>218.88999999999987</v>
      </c>
      <c r="O523">
        <f>sales_data_1[[#This Row],[Unit_Price]]*sales_data_1[[#This Row],[Quantity_Sold]]</f>
        <v>9532.92</v>
      </c>
      <c r="P523">
        <f>sales_data_1[[#This Row],[Unit - cost]]*sales_data_1[[#This Row],[Quantity_Sold]]</f>
        <v>656.66999999999962</v>
      </c>
    </row>
    <row r="524" spans="1:16" x14ac:dyDescent="0.3">
      <c r="A524">
        <v>1094</v>
      </c>
      <c r="B524" s="1">
        <v>45291</v>
      </c>
      <c r="C524" t="s">
        <v>13</v>
      </c>
      <c r="D524" t="s">
        <v>24</v>
      </c>
      <c r="E524">
        <v>15</v>
      </c>
      <c r="F524" t="s">
        <v>25</v>
      </c>
      <c r="G524">
        <v>4111.93</v>
      </c>
      <c r="H524">
        <v>4338.67</v>
      </c>
      <c r="I524" t="s">
        <v>16</v>
      </c>
      <c r="J524">
        <v>0.26</v>
      </c>
      <c r="K524" t="s">
        <v>30</v>
      </c>
      <c r="L524" t="s">
        <v>18</v>
      </c>
      <c r="M524" t="s">
        <v>31</v>
      </c>
      <c r="N524">
        <f>sales_data_1[[#This Row],[Unit_Price]]-sales_data_1[[#This Row],[Unit_Cost]]</f>
        <v>226.73999999999978</v>
      </c>
      <c r="O524">
        <f>sales_data_1[[#This Row],[Unit_Price]]*sales_data_1[[#This Row],[Quantity_Sold]]</f>
        <v>65080.05</v>
      </c>
      <c r="P524">
        <f>sales_data_1[[#This Row],[Unit - cost]]*sales_data_1[[#This Row],[Quantity_Sold]]</f>
        <v>3401.0999999999967</v>
      </c>
    </row>
    <row r="525" spans="1:16" x14ac:dyDescent="0.3">
      <c r="A525">
        <v>1023</v>
      </c>
      <c r="B525" s="1">
        <v>44952</v>
      </c>
      <c r="C525" t="s">
        <v>23</v>
      </c>
      <c r="D525" t="s">
        <v>14</v>
      </c>
      <c r="E525">
        <v>36</v>
      </c>
      <c r="F525" t="s">
        <v>28</v>
      </c>
      <c r="G525">
        <v>1991.72</v>
      </c>
      <c r="H525">
        <v>2329.37</v>
      </c>
      <c r="I525" t="s">
        <v>29</v>
      </c>
      <c r="J525">
        <v>0.28000000000000003</v>
      </c>
      <c r="K525" t="s">
        <v>30</v>
      </c>
      <c r="L525" t="s">
        <v>21</v>
      </c>
      <c r="M525" t="s">
        <v>44</v>
      </c>
      <c r="N525">
        <f>sales_data_1[[#This Row],[Unit_Price]]-sales_data_1[[#This Row],[Unit_Cost]]</f>
        <v>337.64999999999986</v>
      </c>
      <c r="O525">
        <f>sales_data_1[[#This Row],[Unit_Price]]*sales_data_1[[#This Row],[Quantity_Sold]]</f>
        <v>83857.319999999992</v>
      </c>
      <c r="P525">
        <f>sales_data_1[[#This Row],[Unit - cost]]*sales_data_1[[#This Row],[Quantity_Sold]]</f>
        <v>12155.399999999994</v>
      </c>
    </row>
    <row r="526" spans="1:16" x14ac:dyDescent="0.3">
      <c r="A526">
        <v>1010</v>
      </c>
      <c r="B526" s="1">
        <v>44973</v>
      </c>
      <c r="C526" t="s">
        <v>23</v>
      </c>
      <c r="D526" t="s">
        <v>33</v>
      </c>
      <c r="E526">
        <v>47</v>
      </c>
      <c r="F526" t="s">
        <v>15</v>
      </c>
      <c r="G526">
        <v>2265.38</v>
      </c>
      <c r="H526">
        <v>2429.9300000000003</v>
      </c>
      <c r="I526" t="s">
        <v>16</v>
      </c>
      <c r="J526">
        <v>0.06</v>
      </c>
      <c r="K526" t="s">
        <v>26</v>
      </c>
      <c r="L526" t="s">
        <v>18</v>
      </c>
      <c r="M526" t="s">
        <v>49</v>
      </c>
      <c r="N526">
        <f>sales_data_1[[#This Row],[Unit_Price]]-sales_data_1[[#This Row],[Unit_Cost]]</f>
        <v>164.55000000000018</v>
      </c>
      <c r="O526">
        <f>sales_data_1[[#This Row],[Unit_Price]]*sales_data_1[[#This Row],[Quantity_Sold]]</f>
        <v>114206.71000000002</v>
      </c>
      <c r="P526">
        <f>sales_data_1[[#This Row],[Unit - cost]]*sales_data_1[[#This Row],[Quantity_Sold]]</f>
        <v>7733.8500000000085</v>
      </c>
    </row>
    <row r="527" spans="1:16" x14ac:dyDescent="0.3">
      <c r="A527">
        <v>1069</v>
      </c>
      <c r="B527" s="1">
        <v>45214</v>
      </c>
      <c r="C527" t="s">
        <v>13</v>
      </c>
      <c r="D527" t="s">
        <v>20</v>
      </c>
      <c r="E527">
        <v>46</v>
      </c>
      <c r="F527" t="s">
        <v>25</v>
      </c>
      <c r="G527">
        <v>3663.51</v>
      </c>
      <c r="H527">
        <v>4007.9800000000005</v>
      </c>
      <c r="I527" t="s">
        <v>29</v>
      </c>
      <c r="J527">
        <v>0.13</v>
      </c>
      <c r="K527" t="s">
        <v>17</v>
      </c>
      <c r="L527" t="s">
        <v>18</v>
      </c>
      <c r="M527" t="s">
        <v>22</v>
      </c>
      <c r="N527">
        <f>sales_data_1[[#This Row],[Unit_Price]]-sales_data_1[[#This Row],[Unit_Cost]]</f>
        <v>344.47000000000025</v>
      </c>
      <c r="O527">
        <f>sales_data_1[[#This Row],[Unit_Price]]*sales_data_1[[#This Row],[Quantity_Sold]]</f>
        <v>184367.08000000002</v>
      </c>
      <c r="P527">
        <f>sales_data_1[[#This Row],[Unit - cost]]*sales_data_1[[#This Row],[Quantity_Sold]]</f>
        <v>15845.620000000012</v>
      </c>
    </row>
    <row r="528" spans="1:16" x14ac:dyDescent="0.3">
      <c r="A528">
        <v>1100</v>
      </c>
      <c r="B528" s="1">
        <v>45192</v>
      </c>
      <c r="C528" t="s">
        <v>32</v>
      </c>
      <c r="D528" t="s">
        <v>14</v>
      </c>
      <c r="E528">
        <v>19</v>
      </c>
      <c r="F528" t="s">
        <v>34</v>
      </c>
      <c r="G528">
        <v>1820.89</v>
      </c>
      <c r="H528">
        <v>2257.92</v>
      </c>
      <c r="I528" t="s">
        <v>29</v>
      </c>
      <c r="J528">
        <v>0.12</v>
      </c>
      <c r="K528" t="s">
        <v>17</v>
      </c>
      <c r="L528" t="s">
        <v>21</v>
      </c>
      <c r="M528" t="s">
        <v>52</v>
      </c>
      <c r="N528">
        <f>sales_data_1[[#This Row],[Unit_Price]]-sales_data_1[[#This Row],[Unit_Cost]]</f>
        <v>437.03</v>
      </c>
      <c r="O528">
        <f>sales_data_1[[#This Row],[Unit_Price]]*sales_data_1[[#This Row],[Quantity_Sold]]</f>
        <v>42900.480000000003</v>
      </c>
      <c r="P528">
        <f>sales_data_1[[#This Row],[Unit - cost]]*sales_data_1[[#This Row],[Quantity_Sold]]</f>
        <v>8303.57</v>
      </c>
    </row>
    <row r="529" spans="1:16" x14ac:dyDescent="0.3">
      <c r="A529">
        <v>1034</v>
      </c>
      <c r="B529" s="1">
        <v>44942</v>
      </c>
      <c r="C529" t="s">
        <v>41</v>
      </c>
      <c r="D529" t="s">
        <v>14</v>
      </c>
      <c r="E529">
        <v>13</v>
      </c>
      <c r="F529" t="s">
        <v>15</v>
      </c>
      <c r="G529">
        <v>366.31</v>
      </c>
      <c r="H529">
        <v>492.68</v>
      </c>
      <c r="I529" t="s">
        <v>29</v>
      </c>
      <c r="J529">
        <v>0.12</v>
      </c>
      <c r="K529" t="s">
        <v>30</v>
      </c>
      <c r="L529" t="s">
        <v>21</v>
      </c>
      <c r="M529" t="s">
        <v>48</v>
      </c>
      <c r="N529">
        <f>sales_data_1[[#This Row],[Unit_Price]]-sales_data_1[[#This Row],[Unit_Cost]]</f>
        <v>126.37</v>
      </c>
      <c r="O529">
        <f>sales_data_1[[#This Row],[Unit_Price]]*sales_data_1[[#This Row],[Quantity_Sold]]</f>
        <v>6404.84</v>
      </c>
      <c r="P529">
        <f>sales_data_1[[#This Row],[Unit - cost]]*sales_data_1[[#This Row],[Quantity_Sold]]</f>
        <v>1642.81</v>
      </c>
    </row>
    <row r="530" spans="1:16" x14ac:dyDescent="0.3">
      <c r="A530">
        <v>1052</v>
      </c>
      <c r="B530" s="1">
        <v>45125</v>
      </c>
      <c r="C530" t="s">
        <v>37</v>
      </c>
      <c r="D530" t="s">
        <v>24</v>
      </c>
      <c r="E530">
        <v>42</v>
      </c>
      <c r="F530" t="s">
        <v>34</v>
      </c>
      <c r="G530">
        <v>417.96</v>
      </c>
      <c r="H530">
        <v>907.63</v>
      </c>
      <c r="I530" t="s">
        <v>29</v>
      </c>
      <c r="J530">
        <v>0.04</v>
      </c>
      <c r="K530" t="s">
        <v>17</v>
      </c>
      <c r="L530" t="s">
        <v>21</v>
      </c>
      <c r="M530" t="s">
        <v>38</v>
      </c>
      <c r="N530">
        <f>sales_data_1[[#This Row],[Unit_Price]]-sales_data_1[[#This Row],[Unit_Cost]]</f>
        <v>489.67</v>
      </c>
      <c r="O530">
        <f>sales_data_1[[#This Row],[Unit_Price]]*sales_data_1[[#This Row],[Quantity_Sold]]</f>
        <v>38120.46</v>
      </c>
      <c r="P530">
        <f>sales_data_1[[#This Row],[Unit - cost]]*sales_data_1[[#This Row],[Quantity_Sold]]</f>
        <v>20566.14</v>
      </c>
    </row>
    <row r="531" spans="1:16" x14ac:dyDescent="0.3">
      <c r="A531">
        <v>1095</v>
      </c>
      <c r="B531" s="1">
        <v>45208</v>
      </c>
      <c r="C531" t="s">
        <v>23</v>
      </c>
      <c r="D531" t="s">
        <v>14</v>
      </c>
      <c r="E531">
        <v>21</v>
      </c>
      <c r="F531" t="s">
        <v>28</v>
      </c>
      <c r="G531">
        <v>621.04999999999995</v>
      </c>
      <c r="H531">
        <v>820.36999999999989</v>
      </c>
      <c r="I531" t="s">
        <v>16</v>
      </c>
      <c r="J531">
        <v>0.24</v>
      </c>
      <c r="K531" t="s">
        <v>26</v>
      </c>
      <c r="L531" t="s">
        <v>18</v>
      </c>
      <c r="M531" t="s">
        <v>44</v>
      </c>
      <c r="N531">
        <f>sales_data_1[[#This Row],[Unit_Price]]-sales_data_1[[#This Row],[Unit_Cost]]</f>
        <v>199.31999999999994</v>
      </c>
      <c r="O531">
        <f>sales_data_1[[#This Row],[Unit_Price]]*sales_data_1[[#This Row],[Quantity_Sold]]</f>
        <v>17227.769999999997</v>
      </c>
      <c r="P531">
        <f>sales_data_1[[#This Row],[Unit - cost]]*sales_data_1[[#This Row],[Quantity_Sold]]</f>
        <v>4185.7199999999984</v>
      </c>
    </row>
    <row r="532" spans="1:16" x14ac:dyDescent="0.3">
      <c r="A532">
        <v>1010</v>
      </c>
      <c r="B532" s="1">
        <v>45012</v>
      </c>
      <c r="C532" t="s">
        <v>37</v>
      </c>
      <c r="D532" t="s">
        <v>24</v>
      </c>
      <c r="E532">
        <v>37</v>
      </c>
      <c r="F532" t="s">
        <v>28</v>
      </c>
      <c r="G532">
        <v>4354.92</v>
      </c>
      <c r="H532">
        <v>4495.88</v>
      </c>
      <c r="I532" t="s">
        <v>16</v>
      </c>
      <c r="J532">
        <v>0.01</v>
      </c>
      <c r="K532" t="s">
        <v>26</v>
      </c>
      <c r="L532" t="s">
        <v>18</v>
      </c>
      <c r="M532" t="s">
        <v>38</v>
      </c>
      <c r="N532">
        <f>sales_data_1[[#This Row],[Unit_Price]]-sales_data_1[[#This Row],[Unit_Cost]]</f>
        <v>140.96000000000004</v>
      </c>
      <c r="O532">
        <f>sales_data_1[[#This Row],[Unit_Price]]*sales_data_1[[#This Row],[Quantity_Sold]]</f>
        <v>166347.56</v>
      </c>
      <c r="P532">
        <f>sales_data_1[[#This Row],[Unit - cost]]*sales_data_1[[#This Row],[Quantity_Sold]]</f>
        <v>5215.5200000000013</v>
      </c>
    </row>
    <row r="533" spans="1:16" x14ac:dyDescent="0.3">
      <c r="A533">
        <v>1019</v>
      </c>
      <c r="B533" s="1">
        <v>45176</v>
      </c>
      <c r="C533" t="s">
        <v>13</v>
      </c>
      <c r="D533" t="s">
        <v>20</v>
      </c>
      <c r="E533">
        <v>27</v>
      </c>
      <c r="F533" t="s">
        <v>34</v>
      </c>
      <c r="G533">
        <v>2387.52</v>
      </c>
      <c r="H533">
        <v>2604.06</v>
      </c>
      <c r="I533" t="s">
        <v>16</v>
      </c>
      <c r="J533">
        <v>0.16</v>
      </c>
      <c r="K533" t="s">
        <v>17</v>
      </c>
      <c r="L533" t="s">
        <v>18</v>
      </c>
      <c r="M533" t="s">
        <v>22</v>
      </c>
      <c r="N533">
        <f>sales_data_1[[#This Row],[Unit_Price]]-sales_data_1[[#This Row],[Unit_Cost]]</f>
        <v>216.53999999999996</v>
      </c>
      <c r="O533">
        <f>sales_data_1[[#This Row],[Unit_Price]]*sales_data_1[[#This Row],[Quantity_Sold]]</f>
        <v>70309.62</v>
      </c>
      <c r="P533">
        <f>sales_data_1[[#This Row],[Unit - cost]]*sales_data_1[[#This Row],[Quantity_Sold]]</f>
        <v>5846.579999999999</v>
      </c>
    </row>
    <row r="534" spans="1:16" x14ac:dyDescent="0.3">
      <c r="A534">
        <v>1058</v>
      </c>
      <c r="B534" s="1">
        <v>45196</v>
      </c>
      <c r="C534" t="s">
        <v>37</v>
      </c>
      <c r="D534" t="s">
        <v>20</v>
      </c>
      <c r="E534">
        <v>29</v>
      </c>
      <c r="F534" t="s">
        <v>34</v>
      </c>
      <c r="G534">
        <v>3578.77</v>
      </c>
      <c r="H534">
        <v>3635.02</v>
      </c>
      <c r="I534" t="s">
        <v>29</v>
      </c>
      <c r="J534">
        <v>0.2</v>
      </c>
      <c r="K534" t="s">
        <v>26</v>
      </c>
      <c r="L534" t="s">
        <v>21</v>
      </c>
      <c r="M534" t="s">
        <v>40</v>
      </c>
      <c r="N534">
        <f>sales_data_1[[#This Row],[Unit_Price]]-sales_data_1[[#This Row],[Unit_Cost]]</f>
        <v>56.25</v>
      </c>
      <c r="O534">
        <f>sales_data_1[[#This Row],[Unit_Price]]*sales_data_1[[#This Row],[Quantity_Sold]]</f>
        <v>105415.58</v>
      </c>
      <c r="P534">
        <f>sales_data_1[[#This Row],[Unit - cost]]*sales_data_1[[#This Row],[Quantity_Sold]]</f>
        <v>1631.25</v>
      </c>
    </row>
    <row r="535" spans="1:16" x14ac:dyDescent="0.3">
      <c r="A535">
        <v>1096</v>
      </c>
      <c r="B535" s="1">
        <v>45261</v>
      </c>
      <c r="C535" t="s">
        <v>13</v>
      </c>
      <c r="D535" t="s">
        <v>33</v>
      </c>
      <c r="E535">
        <v>20</v>
      </c>
      <c r="F535" t="s">
        <v>15</v>
      </c>
      <c r="G535">
        <v>1994.9</v>
      </c>
      <c r="H535">
        <v>2066.5</v>
      </c>
      <c r="I535" t="s">
        <v>16</v>
      </c>
      <c r="J535">
        <v>0.06</v>
      </c>
      <c r="K535" t="s">
        <v>26</v>
      </c>
      <c r="L535" t="s">
        <v>18</v>
      </c>
      <c r="M535" t="s">
        <v>45</v>
      </c>
      <c r="N535">
        <f>sales_data_1[[#This Row],[Unit_Price]]-sales_data_1[[#This Row],[Unit_Cost]]</f>
        <v>71.599999999999909</v>
      </c>
      <c r="O535">
        <f>sales_data_1[[#This Row],[Unit_Price]]*sales_data_1[[#This Row],[Quantity_Sold]]</f>
        <v>41330</v>
      </c>
      <c r="P535">
        <f>sales_data_1[[#This Row],[Unit - cost]]*sales_data_1[[#This Row],[Quantity_Sold]]</f>
        <v>1431.9999999999982</v>
      </c>
    </row>
    <row r="536" spans="1:16" x14ac:dyDescent="0.3">
      <c r="A536">
        <v>1001</v>
      </c>
      <c r="B536" s="1">
        <v>45043</v>
      </c>
      <c r="C536" t="s">
        <v>37</v>
      </c>
      <c r="D536" t="s">
        <v>33</v>
      </c>
      <c r="E536">
        <v>25</v>
      </c>
      <c r="F536" t="s">
        <v>34</v>
      </c>
      <c r="G536">
        <v>1330.62</v>
      </c>
      <c r="H536">
        <v>1543.6899999999998</v>
      </c>
      <c r="I536" t="s">
        <v>29</v>
      </c>
      <c r="J536">
        <v>0.27</v>
      </c>
      <c r="K536" t="s">
        <v>30</v>
      </c>
      <c r="L536" t="s">
        <v>18</v>
      </c>
      <c r="M536" t="s">
        <v>47</v>
      </c>
      <c r="N536">
        <f>sales_data_1[[#This Row],[Unit_Price]]-sales_data_1[[#This Row],[Unit_Cost]]</f>
        <v>213.06999999999994</v>
      </c>
      <c r="O536">
        <f>sales_data_1[[#This Row],[Unit_Price]]*sales_data_1[[#This Row],[Quantity_Sold]]</f>
        <v>38592.249999999993</v>
      </c>
      <c r="P536">
        <f>sales_data_1[[#This Row],[Unit - cost]]*sales_data_1[[#This Row],[Quantity_Sold]]</f>
        <v>5326.7499999999982</v>
      </c>
    </row>
    <row r="537" spans="1:16" x14ac:dyDescent="0.3">
      <c r="A537">
        <v>1069</v>
      </c>
      <c r="B537" s="1">
        <v>44933</v>
      </c>
      <c r="C537" t="s">
        <v>41</v>
      </c>
      <c r="D537" t="s">
        <v>33</v>
      </c>
      <c r="E537">
        <v>6</v>
      </c>
      <c r="F537" t="s">
        <v>25</v>
      </c>
      <c r="G537">
        <v>1768.6</v>
      </c>
      <c r="H537">
        <v>2152.1999999999998</v>
      </c>
      <c r="I537" t="s">
        <v>29</v>
      </c>
      <c r="J537">
        <v>0.25</v>
      </c>
      <c r="K537" t="s">
        <v>26</v>
      </c>
      <c r="L537" t="s">
        <v>21</v>
      </c>
      <c r="M537" t="s">
        <v>51</v>
      </c>
      <c r="N537">
        <f>sales_data_1[[#This Row],[Unit_Price]]-sales_data_1[[#This Row],[Unit_Cost]]</f>
        <v>383.59999999999991</v>
      </c>
      <c r="O537">
        <f>sales_data_1[[#This Row],[Unit_Price]]*sales_data_1[[#This Row],[Quantity_Sold]]</f>
        <v>12913.199999999999</v>
      </c>
      <c r="P537">
        <f>sales_data_1[[#This Row],[Unit - cost]]*sales_data_1[[#This Row],[Quantity_Sold]]</f>
        <v>2301.5999999999995</v>
      </c>
    </row>
    <row r="538" spans="1:16" x14ac:dyDescent="0.3">
      <c r="A538">
        <v>1004</v>
      </c>
      <c r="B538" s="1">
        <v>45063</v>
      </c>
      <c r="C538" t="s">
        <v>41</v>
      </c>
      <c r="D538" t="s">
        <v>14</v>
      </c>
      <c r="E538">
        <v>36</v>
      </c>
      <c r="F538" t="s">
        <v>25</v>
      </c>
      <c r="G538">
        <v>3981.2</v>
      </c>
      <c r="H538">
        <v>4432.3499999999995</v>
      </c>
      <c r="I538" t="s">
        <v>29</v>
      </c>
      <c r="J538">
        <v>0.14000000000000001</v>
      </c>
      <c r="K538" t="s">
        <v>17</v>
      </c>
      <c r="L538" t="s">
        <v>18</v>
      </c>
      <c r="M538" t="s">
        <v>48</v>
      </c>
      <c r="N538">
        <f>sales_data_1[[#This Row],[Unit_Price]]-sales_data_1[[#This Row],[Unit_Cost]]</f>
        <v>451.14999999999964</v>
      </c>
      <c r="O538">
        <f>sales_data_1[[#This Row],[Unit_Price]]*sales_data_1[[#This Row],[Quantity_Sold]]</f>
        <v>159564.59999999998</v>
      </c>
      <c r="P538">
        <f>sales_data_1[[#This Row],[Unit - cost]]*sales_data_1[[#This Row],[Quantity_Sold]]</f>
        <v>16241.399999999987</v>
      </c>
    </row>
    <row r="539" spans="1:16" x14ac:dyDescent="0.3">
      <c r="A539">
        <v>1016</v>
      </c>
      <c r="B539" s="1">
        <v>45102</v>
      </c>
      <c r="C539" t="s">
        <v>41</v>
      </c>
      <c r="D539" t="s">
        <v>20</v>
      </c>
      <c r="E539">
        <v>2</v>
      </c>
      <c r="F539" t="s">
        <v>34</v>
      </c>
      <c r="G539">
        <v>3144.82</v>
      </c>
      <c r="H539">
        <v>3480.58</v>
      </c>
      <c r="I539" t="s">
        <v>16</v>
      </c>
      <c r="J539">
        <v>0.12</v>
      </c>
      <c r="K539" t="s">
        <v>17</v>
      </c>
      <c r="L539" t="s">
        <v>21</v>
      </c>
      <c r="M539" t="s">
        <v>50</v>
      </c>
      <c r="N539">
        <f>sales_data_1[[#This Row],[Unit_Price]]-sales_data_1[[#This Row],[Unit_Cost]]</f>
        <v>335.75999999999976</v>
      </c>
      <c r="O539">
        <f>sales_data_1[[#This Row],[Unit_Price]]*sales_data_1[[#This Row],[Quantity_Sold]]</f>
        <v>6961.16</v>
      </c>
      <c r="P539">
        <f>sales_data_1[[#This Row],[Unit - cost]]*sales_data_1[[#This Row],[Quantity_Sold]]</f>
        <v>671.51999999999953</v>
      </c>
    </row>
    <row r="540" spans="1:16" x14ac:dyDescent="0.3">
      <c r="A540">
        <v>1024</v>
      </c>
      <c r="B540" s="1">
        <v>45254</v>
      </c>
      <c r="C540" t="s">
        <v>41</v>
      </c>
      <c r="D540" t="s">
        <v>24</v>
      </c>
      <c r="E540">
        <v>22</v>
      </c>
      <c r="F540" t="s">
        <v>25</v>
      </c>
      <c r="G540">
        <v>4691.32</v>
      </c>
      <c r="H540">
        <v>4752.88</v>
      </c>
      <c r="I540" t="s">
        <v>16</v>
      </c>
      <c r="J540">
        <v>7.0000000000000007E-2</v>
      </c>
      <c r="K540" t="s">
        <v>26</v>
      </c>
      <c r="L540" t="s">
        <v>21</v>
      </c>
      <c r="M540" t="s">
        <v>42</v>
      </c>
      <c r="N540">
        <f>sales_data_1[[#This Row],[Unit_Price]]-sales_data_1[[#This Row],[Unit_Cost]]</f>
        <v>61.5600000000004</v>
      </c>
      <c r="O540">
        <f>sales_data_1[[#This Row],[Unit_Price]]*sales_data_1[[#This Row],[Quantity_Sold]]</f>
        <v>104563.36</v>
      </c>
      <c r="P540">
        <f>sales_data_1[[#This Row],[Unit - cost]]*sales_data_1[[#This Row],[Quantity_Sold]]</f>
        <v>1354.3200000000088</v>
      </c>
    </row>
    <row r="541" spans="1:16" x14ac:dyDescent="0.3">
      <c r="A541">
        <v>1080</v>
      </c>
      <c r="B541" s="1">
        <v>45241</v>
      </c>
      <c r="C541" t="s">
        <v>41</v>
      </c>
      <c r="D541" t="s">
        <v>33</v>
      </c>
      <c r="E541">
        <v>32</v>
      </c>
      <c r="F541" t="s">
        <v>34</v>
      </c>
      <c r="G541">
        <v>3414.54</v>
      </c>
      <c r="H541">
        <v>3753.83</v>
      </c>
      <c r="I541" t="s">
        <v>29</v>
      </c>
      <c r="J541">
        <v>0.22</v>
      </c>
      <c r="K541" t="s">
        <v>17</v>
      </c>
      <c r="L541" t="s">
        <v>21</v>
      </c>
      <c r="M541" t="s">
        <v>51</v>
      </c>
      <c r="N541">
        <f>sales_data_1[[#This Row],[Unit_Price]]-sales_data_1[[#This Row],[Unit_Cost]]</f>
        <v>339.28999999999996</v>
      </c>
      <c r="O541">
        <f>sales_data_1[[#This Row],[Unit_Price]]*sales_data_1[[#This Row],[Quantity_Sold]]</f>
        <v>120122.56</v>
      </c>
      <c r="P541">
        <f>sales_data_1[[#This Row],[Unit - cost]]*sales_data_1[[#This Row],[Quantity_Sold]]</f>
        <v>10857.279999999999</v>
      </c>
    </row>
    <row r="542" spans="1:16" x14ac:dyDescent="0.3">
      <c r="A542">
        <v>1002</v>
      </c>
      <c r="B542" s="1">
        <v>45141</v>
      </c>
      <c r="C542" t="s">
        <v>41</v>
      </c>
      <c r="D542" t="s">
        <v>24</v>
      </c>
      <c r="E542">
        <v>16</v>
      </c>
      <c r="F542" t="s">
        <v>15</v>
      </c>
      <c r="G542">
        <v>2872.4</v>
      </c>
      <c r="H542">
        <v>3193.76</v>
      </c>
      <c r="I542" t="s">
        <v>16</v>
      </c>
      <c r="J542">
        <v>0.04</v>
      </c>
      <c r="K542" t="s">
        <v>30</v>
      </c>
      <c r="L542" t="s">
        <v>18</v>
      </c>
      <c r="M542" t="s">
        <v>42</v>
      </c>
      <c r="N542">
        <f>sales_data_1[[#This Row],[Unit_Price]]-sales_data_1[[#This Row],[Unit_Cost]]</f>
        <v>321.36000000000013</v>
      </c>
      <c r="O542">
        <f>sales_data_1[[#This Row],[Unit_Price]]*sales_data_1[[#This Row],[Quantity_Sold]]</f>
        <v>51100.160000000003</v>
      </c>
      <c r="P542">
        <f>sales_data_1[[#This Row],[Unit - cost]]*sales_data_1[[#This Row],[Quantity_Sold]]</f>
        <v>5141.760000000002</v>
      </c>
    </row>
    <row r="543" spans="1:16" x14ac:dyDescent="0.3">
      <c r="A543">
        <v>1092</v>
      </c>
      <c r="B543" s="1">
        <v>45008</v>
      </c>
      <c r="C543" t="s">
        <v>13</v>
      </c>
      <c r="D543" t="s">
        <v>24</v>
      </c>
      <c r="E543">
        <v>18</v>
      </c>
      <c r="F543" t="s">
        <v>25</v>
      </c>
      <c r="G543">
        <v>3070.47</v>
      </c>
      <c r="H543">
        <v>3475.29</v>
      </c>
      <c r="I543" t="s">
        <v>16</v>
      </c>
      <c r="J543">
        <v>0.2</v>
      </c>
      <c r="K543" t="s">
        <v>26</v>
      </c>
      <c r="L543" t="s">
        <v>18</v>
      </c>
      <c r="M543" t="s">
        <v>31</v>
      </c>
      <c r="N543">
        <f>sales_data_1[[#This Row],[Unit_Price]]-sales_data_1[[#This Row],[Unit_Cost]]</f>
        <v>404.82000000000016</v>
      </c>
      <c r="O543">
        <f>sales_data_1[[#This Row],[Unit_Price]]*sales_data_1[[#This Row],[Quantity_Sold]]</f>
        <v>62555.22</v>
      </c>
      <c r="P543">
        <f>sales_data_1[[#This Row],[Unit - cost]]*sales_data_1[[#This Row],[Quantity_Sold]]</f>
        <v>7286.7600000000029</v>
      </c>
    </row>
    <row r="544" spans="1:16" x14ac:dyDescent="0.3">
      <c r="A544">
        <v>1032</v>
      </c>
      <c r="B544" s="1">
        <v>45149</v>
      </c>
      <c r="C544" t="s">
        <v>23</v>
      </c>
      <c r="D544" t="s">
        <v>33</v>
      </c>
      <c r="E544">
        <v>5</v>
      </c>
      <c r="F544" t="s">
        <v>25</v>
      </c>
      <c r="G544">
        <v>4714.74</v>
      </c>
      <c r="H544">
        <v>5129.1099999999997</v>
      </c>
      <c r="I544" t="s">
        <v>29</v>
      </c>
      <c r="J544">
        <v>0.25</v>
      </c>
      <c r="K544" t="s">
        <v>26</v>
      </c>
      <c r="L544" t="s">
        <v>18</v>
      </c>
      <c r="M544" t="s">
        <v>49</v>
      </c>
      <c r="N544">
        <f>sales_data_1[[#This Row],[Unit_Price]]-sales_data_1[[#This Row],[Unit_Cost]]</f>
        <v>414.36999999999989</v>
      </c>
      <c r="O544">
        <f>sales_data_1[[#This Row],[Unit_Price]]*sales_data_1[[#This Row],[Quantity_Sold]]</f>
        <v>25645.55</v>
      </c>
      <c r="P544">
        <f>sales_data_1[[#This Row],[Unit - cost]]*sales_data_1[[#This Row],[Quantity_Sold]]</f>
        <v>2071.8499999999995</v>
      </c>
    </row>
    <row r="545" spans="1:16" x14ac:dyDescent="0.3">
      <c r="A545">
        <v>1091</v>
      </c>
      <c r="B545" s="1">
        <v>45029</v>
      </c>
      <c r="C545" t="s">
        <v>37</v>
      </c>
      <c r="D545" t="s">
        <v>20</v>
      </c>
      <c r="E545">
        <v>36</v>
      </c>
      <c r="F545" t="s">
        <v>34</v>
      </c>
      <c r="G545">
        <v>3951.59</v>
      </c>
      <c r="H545">
        <v>4387.01</v>
      </c>
      <c r="I545" t="s">
        <v>29</v>
      </c>
      <c r="J545">
        <v>7.0000000000000007E-2</v>
      </c>
      <c r="K545" t="s">
        <v>26</v>
      </c>
      <c r="L545" t="s">
        <v>21</v>
      </c>
      <c r="M545" t="s">
        <v>40</v>
      </c>
      <c r="N545">
        <f>sales_data_1[[#This Row],[Unit_Price]]-sales_data_1[[#This Row],[Unit_Cost]]</f>
        <v>435.42000000000007</v>
      </c>
      <c r="O545">
        <f>sales_data_1[[#This Row],[Unit_Price]]*sales_data_1[[#This Row],[Quantity_Sold]]</f>
        <v>157932.36000000002</v>
      </c>
      <c r="P545">
        <f>sales_data_1[[#This Row],[Unit - cost]]*sales_data_1[[#This Row],[Quantity_Sold]]</f>
        <v>15675.120000000003</v>
      </c>
    </row>
    <row r="546" spans="1:16" x14ac:dyDescent="0.3">
      <c r="A546">
        <v>1084</v>
      </c>
      <c r="B546" s="1">
        <v>45199</v>
      </c>
      <c r="C546" t="s">
        <v>41</v>
      </c>
      <c r="D546" t="s">
        <v>33</v>
      </c>
      <c r="E546">
        <v>30</v>
      </c>
      <c r="F546" t="s">
        <v>25</v>
      </c>
      <c r="G546">
        <v>169</v>
      </c>
      <c r="H546">
        <v>381.91999999999996</v>
      </c>
      <c r="I546" t="s">
        <v>16</v>
      </c>
      <c r="J546">
        <v>0.26</v>
      </c>
      <c r="K546" t="s">
        <v>17</v>
      </c>
      <c r="L546" t="s">
        <v>21</v>
      </c>
      <c r="M546" t="s">
        <v>51</v>
      </c>
      <c r="N546">
        <f>sales_data_1[[#This Row],[Unit_Price]]-sales_data_1[[#This Row],[Unit_Cost]]</f>
        <v>212.91999999999996</v>
      </c>
      <c r="O546">
        <f>sales_data_1[[#This Row],[Unit_Price]]*sales_data_1[[#This Row],[Quantity_Sold]]</f>
        <v>11457.599999999999</v>
      </c>
      <c r="P546">
        <f>sales_data_1[[#This Row],[Unit - cost]]*sales_data_1[[#This Row],[Quantity_Sold]]</f>
        <v>6387.5999999999985</v>
      </c>
    </row>
    <row r="547" spans="1:16" x14ac:dyDescent="0.3">
      <c r="A547">
        <v>1024</v>
      </c>
      <c r="B547" s="1">
        <v>44940</v>
      </c>
      <c r="C547" t="s">
        <v>13</v>
      </c>
      <c r="D547" t="s">
        <v>24</v>
      </c>
      <c r="E547">
        <v>45</v>
      </c>
      <c r="F547" t="s">
        <v>28</v>
      </c>
      <c r="G547">
        <v>2693.99</v>
      </c>
      <c r="H547">
        <v>3045.9399999999996</v>
      </c>
      <c r="I547" t="s">
        <v>29</v>
      </c>
      <c r="J547">
        <v>0.01</v>
      </c>
      <c r="K547" t="s">
        <v>17</v>
      </c>
      <c r="L547" t="s">
        <v>21</v>
      </c>
      <c r="M547" t="s">
        <v>31</v>
      </c>
      <c r="N547">
        <f>sales_data_1[[#This Row],[Unit_Price]]-sales_data_1[[#This Row],[Unit_Cost]]</f>
        <v>351.94999999999982</v>
      </c>
      <c r="O547">
        <f>sales_data_1[[#This Row],[Unit_Price]]*sales_data_1[[#This Row],[Quantity_Sold]]</f>
        <v>137067.29999999999</v>
      </c>
      <c r="P547">
        <f>sales_data_1[[#This Row],[Unit - cost]]*sales_data_1[[#This Row],[Quantity_Sold]]</f>
        <v>15837.749999999993</v>
      </c>
    </row>
    <row r="548" spans="1:16" x14ac:dyDescent="0.3">
      <c r="A548">
        <v>1012</v>
      </c>
      <c r="B548" s="1">
        <v>45085</v>
      </c>
      <c r="C548" t="s">
        <v>13</v>
      </c>
      <c r="D548" t="s">
        <v>33</v>
      </c>
      <c r="E548">
        <v>19</v>
      </c>
      <c r="F548" t="s">
        <v>15</v>
      </c>
      <c r="G548">
        <v>3457.28</v>
      </c>
      <c r="H548">
        <v>3598.7200000000003</v>
      </c>
      <c r="I548" t="s">
        <v>29</v>
      </c>
      <c r="J548">
        <v>0.27</v>
      </c>
      <c r="K548" t="s">
        <v>26</v>
      </c>
      <c r="L548" t="s">
        <v>18</v>
      </c>
      <c r="M548" t="s">
        <v>45</v>
      </c>
      <c r="N548">
        <f>sales_data_1[[#This Row],[Unit_Price]]-sales_data_1[[#This Row],[Unit_Cost]]</f>
        <v>141.44000000000005</v>
      </c>
      <c r="O548">
        <f>sales_data_1[[#This Row],[Unit_Price]]*sales_data_1[[#This Row],[Quantity_Sold]]</f>
        <v>68375.680000000008</v>
      </c>
      <c r="P548">
        <f>sales_data_1[[#This Row],[Unit - cost]]*sales_data_1[[#This Row],[Quantity_Sold]]</f>
        <v>2687.360000000001</v>
      </c>
    </row>
    <row r="549" spans="1:16" x14ac:dyDescent="0.3">
      <c r="A549">
        <v>1050</v>
      </c>
      <c r="B549" s="1">
        <v>45078</v>
      </c>
      <c r="C549" t="s">
        <v>13</v>
      </c>
      <c r="D549" t="s">
        <v>24</v>
      </c>
      <c r="E549">
        <v>23</v>
      </c>
      <c r="F549" t="s">
        <v>15</v>
      </c>
      <c r="G549">
        <v>3756.06</v>
      </c>
      <c r="H549">
        <v>4255.7299999999996</v>
      </c>
      <c r="I549" t="s">
        <v>16</v>
      </c>
      <c r="J549">
        <v>0.04</v>
      </c>
      <c r="K549" t="s">
        <v>17</v>
      </c>
      <c r="L549" t="s">
        <v>18</v>
      </c>
      <c r="M549" t="s">
        <v>31</v>
      </c>
      <c r="N549">
        <f>sales_data_1[[#This Row],[Unit_Price]]-sales_data_1[[#This Row],[Unit_Cost]]</f>
        <v>499.66999999999962</v>
      </c>
      <c r="O549">
        <f>sales_data_1[[#This Row],[Unit_Price]]*sales_data_1[[#This Row],[Quantity_Sold]]</f>
        <v>97881.79</v>
      </c>
      <c r="P549">
        <f>sales_data_1[[#This Row],[Unit - cost]]*sales_data_1[[#This Row],[Quantity_Sold]]</f>
        <v>11492.409999999991</v>
      </c>
    </row>
    <row r="550" spans="1:16" x14ac:dyDescent="0.3">
      <c r="A550">
        <v>1035</v>
      </c>
      <c r="B550" s="1">
        <v>45034</v>
      </c>
      <c r="C550" t="s">
        <v>23</v>
      </c>
      <c r="D550" t="s">
        <v>24</v>
      </c>
      <c r="E550">
        <v>34</v>
      </c>
      <c r="F550" t="s">
        <v>25</v>
      </c>
      <c r="G550">
        <v>1105.05</v>
      </c>
      <c r="H550">
        <v>1200.96</v>
      </c>
      <c r="I550" t="s">
        <v>16</v>
      </c>
      <c r="J550">
        <v>0.19</v>
      </c>
      <c r="K550" t="s">
        <v>17</v>
      </c>
      <c r="L550" t="s">
        <v>18</v>
      </c>
      <c r="M550" t="s">
        <v>27</v>
      </c>
      <c r="N550">
        <f>sales_data_1[[#This Row],[Unit_Price]]-sales_data_1[[#This Row],[Unit_Cost]]</f>
        <v>95.910000000000082</v>
      </c>
      <c r="O550">
        <f>sales_data_1[[#This Row],[Unit_Price]]*sales_data_1[[#This Row],[Quantity_Sold]]</f>
        <v>40832.639999999999</v>
      </c>
      <c r="P550">
        <f>sales_data_1[[#This Row],[Unit - cost]]*sales_data_1[[#This Row],[Quantity_Sold]]</f>
        <v>3260.9400000000028</v>
      </c>
    </row>
    <row r="551" spans="1:16" x14ac:dyDescent="0.3">
      <c r="A551">
        <v>1033</v>
      </c>
      <c r="B551" s="1">
        <v>45114</v>
      </c>
      <c r="C551" t="s">
        <v>37</v>
      </c>
      <c r="D551" t="s">
        <v>33</v>
      </c>
      <c r="E551">
        <v>13</v>
      </c>
      <c r="F551" t="s">
        <v>25</v>
      </c>
      <c r="G551">
        <v>4342.53</v>
      </c>
      <c r="H551">
        <v>4357.49</v>
      </c>
      <c r="I551" t="s">
        <v>29</v>
      </c>
      <c r="J551">
        <v>0.08</v>
      </c>
      <c r="K551" t="s">
        <v>26</v>
      </c>
      <c r="L551" t="s">
        <v>18</v>
      </c>
      <c r="M551" t="s">
        <v>47</v>
      </c>
      <c r="N551">
        <f>sales_data_1[[#This Row],[Unit_Price]]-sales_data_1[[#This Row],[Unit_Cost]]</f>
        <v>14.960000000000036</v>
      </c>
      <c r="O551">
        <f>sales_data_1[[#This Row],[Unit_Price]]*sales_data_1[[#This Row],[Quantity_Sold]]</f>
        <v>56647.369999999995</v>
      </c>
      <c r="P551">
        <f>sales_data_1[[#This Row],[Unit - cost]]*sales_data_1[[#This Row],[Quantity_Sold]]</f>
        <v>194.48000000000047</v>
      </c>
    </row>
    <row r="552" spans="1:16" x14ac:dyDescent="0.3">
      <c r="A552">
        <v>1033</v>
      </c>
      <c r="B552" s="1">
        <v>45227</v>
      </c>
      <c r="C552" t="s">
        <v>23</v>
      </c>
      <c r="D552" t="s">
        <v>14</v>
      </c>
      <c r="E552">
        <v>43</v>
      </c>
      <c r="F552" t="s">
        <v>28</v>
      </c>
      <c r="G552">
        <v>4781.42</v>
      </c>
      <c r="H552">
        <v>4864.34</v>
      </c>
      <c r="I552" t="s">
        <v>16</v>
      </c>
      <c r="J552">
        <v>0.25</v>
      </c>
      <c r="K552" t="s">
        <v>26</v>
      </c>
      <c r="L552" t="s">
        <v>18</v>
      </c>
      <c r="M552" t="s">
        <v>44</v>
      </c>
      <c r="N552">
        <f>sales_data_1[[#This Row],[Unit_Price]]-sales_data_1[[#This Row],[Unit_Cost]]</f>
        <v>82.920000000000073</v>
      </c>
      <c r="O552">
        <f>sales_data_1[[#This Row],[Unit_Price]]*sales_data_1[[#This Row],[Quantity_Sold]]</f>
        <v>209166.62</v>
      </c>
      <c r="P552">
        <f>sales_data_1[[#This Row],[Unit - cost]]*sales_data_1[[#This Row],[Quantity_Sold]]</f>
        <v>3565.5600000000031</v>
      </c>
    </row>
    <row r="553" spans="1:16" x14ac:dyDescent="0.3">
      <c r="A553">
        <v>1061</v>
      </c>
      <c r="B553" s="1">
        <v>45024</v>
      </c>
      <c r="C553" t="s">
        <v>32</v>
      </c>
      <c r="D553" t="s">
        <v>33</v>
      </c>
      <c r="E553">
        <v>29</v>
      </c>
      <c r="F553" t="s">
        <v>28</v>
      </c>
      <c r="G553">
        <v>1221.74</v>
      </c>
      <c r="H553">
        <v>1611.92</v>
      </c>
      <c r="I553" t="s">
        <v>29</v>
      </c>
      <c r="J553">
        <v>0.15</v>
      </c>
      <c r="K553" t="s">
        <v>17</v>
      </c>
      <c r="L553" t="s">
        <v>21</v>
      </c>
      <c r="M553" t="s">
        <v>35</v>
      </c>
      <c r="N553">
        <f>sales_data_1[[#This Row],[Unit_Price]]-sales_data_1[[#This Row],[Unit_Cost]]</f>
        <v>390.18000000000006</v>
      </c>
      <c r="O553">
        <f>sales_data_1[[#This Row],[Unit_Price]]*sales_data_1[[#This Row],[Quantity_Sold]]</f>
        <v>46745.68</v>
      </c>
      <c r="P553">
        <f>sales_data_1[[#This Row],[Unit - cost]]*sales_data_1[[#This Row],[Quantity_Sold]]</f>
        <v>11315.220000000001</v>
      </c>
    </row>
    <row r="554" spans="1:16" x14ac:dyDescent="0.3">
      <c r="A554">
        <v>1051</v>
      </c>
      <c r="B554" s="1">
        <v>45057</v>
      </c>
      <c r="C554" t="s">
        <v>13</v>
      </c>
      <c r="D554" t="s">
        <v>14</v>
      </c>
      <c r="E554">
        <v>36</v>
      </c>
      <c r="F554" t="s">
        <v>25</v>
      </c>
      <c r="G554">
        <v>4418.95</v>
      </c>
      <c r="H554">
        <v>4647.87</v>
      </c>
      <c r="I554" t="s">
        <v>29</v>
      </c>
      <c r="J554">
        <v>0.04</v>
      </c>
      <c r="K554" t="s">
        <v>26</v>
      </c>
      <c r="L554" t="s">
        <v>18</v>
      </c>
      <c r="M554" t="s">
        <v>19</v>
      </c>
      <c r="N554">
        <f>sales_data_1[[#This Row],[Unit_Price]]-sales_data_1[[#This Row],[Unit_Cost]]</f>
        <v>228.92000000000007</v>
      </c>
      <c r="O554">
        <f>sales_data_1[[#This Row],[Unit_Price]]*sales_data_1[[#This Row],[Quantity_Sold]]</f>
        <v>167323.32</v>
      </c>
      <c r="P554">
        <f>sales_data_1[[#This Row],[Unit - cost]]*sales_data_1[[#This Row],[Quantity_Sold]]</f>
        <v>8241.1200000000026</v>
      </c>
    </row>
    <row r="555" spans="1:16" x14ac:dyDescent="0.3">
      <c r="A555">
        <v>1043</v>
      </c>
      <c r="B555" s="1">
        <v>45219</v>
      </c>
      <c r="C555" t="s">
        <v>32</v>
      </c>
      <c r="D555" t="s">
        <v>24</v>
      </c>
      <c r="E555">
        <v>22</v>
      </c>
      <c r="F555" t="s">
        <v>25</v>
      </c>
      <c r="G555">
        <v>530.04</v>
      </c>
      <c r="H555">
        <v>759.31999999999994</v>
      </c>
      <c r="I555" t="s">
        <v>16</v>
      </c>
      <c r="J555">
        <v>0.17</v>
      </c>
      <c r="K555" t="s">
        <v>26</v>
      </c>
      <c r="L555" t="s">
        <v>21</v>
      </c>
      <c r="M555" t="s">
        <v>43</v>
      </c>
      <c r="N555">
        <f>sales_data_1[[#This Row],[Unit_Price]]-sales_data_1[[#This Row],[Unit_Cost]]</f>
        <v>229.27999999999997</v>
      </c>
      <c r="O555">
        <f>sales_data_1[[#This Row],[Unit_Price]]*sales_data_1[[#This Row],[Quantity_Sold]]</f>
        <v>16705.039999999997</v>
      </c>
      <c r="P555">
        <f>sales_data_1[[#This Row],[Unit - cost]]*sales_data_1[[#This Row],[Quantity_Sold]]</f>
        <v>5044.16</v>
      </c>
    </row>
    <row r="556" spans="1:16" x14ac:dyDescent="0.3">
      <c r="A556">
        <v>1012</v>
      </c>
      <c r="B556" s="1">
        <v>45097</v>
      </c>
      <c r="C556" t="s">
        <v>41</v>
      </c>
      <c r="D556" t="s">
        <v>24</v>
      </c>
      <c r="E556">
        <v>47</v>
      </c>
      <c r="F556" t="s">
        <v>28</v>
      </c>
      <c r="G556">
        <v>325.75</v>
      </c>
      <c r="H556">
        <v>803.71</v>
      </c>
      <c r="I556" t="s">
        <v>29</v>
      </c>
      <c r="J556">
        <v>0.12</v>
      </c>
      <c r="K556" t="s">
        <v>26</v>
      </c>
      <c r="L556" t="s">
        <v>21</v>
      </c>
      <c r="M556" t="s">
        <v>42</v>
      </c>
      <c r="N556">
        <f>sales_data_1[[#This Row],[Unit_Price]]-sales_data_1[[#This Row],[Unit_Cost]]</f>
        <v>477.96000000000004</v>
      </c>
      <c r="O556">
        <f>sales_data_1[[#This Row],[Unit_Price]]*sales_data_1[[#This Row],[Quantity_Sold]]</f>
        <v>37774.370000000003</v>
      </c>
      <c r="P556">
        <f>sales_data_1[[#This Row],[Unit - cost]]*sales_data_1[[#This Row],[Quantity_Sold]]</f>
        <v>22464.120000000003</v>
      </c>
    </row>
    <row r="557" spans="1:16" x14ac:dyDescent="0.3">
      <c r="A557">
        <v>1067</v>
      </c>
      <c r="B557" s="1">
        <v>45109</v>
      </c>
      <c r="C557" t="s">
        <v>41</v>
      </c>
      <c r="D557" t="s">
        <v>14</v>
      </c>
      <c r="E557">
        <v>36</v>
      </c>
      <c r="F557" t="s">
        <v>34</v>
      </c>
      <c r="G557">
        <v>689.66</v>
      </c>
      <c r="H557">
        <v>1150.28</v>
      </c>
      <c r="I557" t="s">
        <v>29</v>
      </c>
      <c r="J557">
        <v>0.2</v>
      </c>
      <c r="K557" t="s">
        <v>26</v>
      </c>
      <c r="L557" t="s">
        <v>18</v>
      </c>
      <c r="M557" t="s">
        <v>48</v>
      </c>
      <c r="N557">
        <f>sales_data_1[[#This Row],[Unit_Price]]-sales_data_1[[#This Row],[Unit_Cost]]</f>
        <v>460.62</v>
      </c>
      <c r="O557">
        <f>sales_data_1[[#This Row],[Unit_Price]]*sales_data_1[[#This Row],[Quantity_Sold]]</f>
        <v>41410.080000000002</v>
      </c>
      <c r="P557">
        <f>sales_data_1[[#This Row],[Unit - cost]]*sales_data_1[[#This Row],[Quantity_Sold]]</f>
        <v>16582.32</v>
      </c>
    </row>
    <row r="558" spans="1:16" x14ac:dyDescent="0.3">
      <c r="A558">
        <v>1065</v>
      </c>
      <c r="B558" s="1">
        <v>45290</v>
      </c>
      <c r="C558" t="s">
        <v>23</v>
      </c>
      <c r="D558" t="s">
        <v>24</v>
      </c>
      <c r="E558">
        <v>9</v>
      </c>
      <c r="F558" t="s">
        <v>28</v>
      </c>
      <c r="G558">
        <v>335.82</v>
      </c>
      <c r="H558">
        <v>498.31</v>
      </c>
      <c r="I558" t="s">
        <v>29</v>
      </c>
      <c r="J558">
        <v>0.26</v>
      </c>
      <c r="K558" t="s">
        <v>17</v>
      </c>
      <c r="L558" t="s">
        <v>21</v>
      </c>
      <c r="M558" t="s">
        <v>27</v>
      </c>
      <c r="N558">
        <f>sales_data_1[[#This Row],[Unit_Price]]-sales_data_1[[#This Row],[Unit_Cost]]</f>
        <v>162.49</v>
      </c>
      <c r="O558">
        <f>sales_data_1[[#This Row],[Unit_Price]]*sales_data_1[[#This Row],[Quantity_Sold]]</f>
        <v>4484.79</v>
      </c>
      <c r="P558">
        <f>sales_data_1[[#This Row],[Unit - cost]]*sales_data_1[[#This Row],[Quantity_Sold]]</f>
        <v>1462.41</v>
      </c>
    </row>
    <row r="559" spans="1:16" x14ac:dyDescent="0.3">
      <c r="A559">
        <v>1033</v>
      </c>
      <c r="B559" s="1">
        <v>44965</v>
      </c>
      <c r="C559" t="s">
        <v>37</v>
      </c>
      <c r="D559" t="s">
        <v>14</v>
      </c>
      <c r="E559">
        <v>39</v>
      </c>
      <c r="F559" t="s">
        <v>34</v>
      </c>
      <c r="G559">
        <v>4232.8100000000004</v>
      </c>
      <c r="H559">
        <v>4345.25</v>
      </c>
      <c r="I559" t="s">
        <v>16</v>
      </c>
      <c r="J559">
        <v>0.12</v>
      </c>
      <c r="K559" t="s">
        <v>26</v>
      </c>
      <c r="L559" t="s">
        <v>18</v>
      </c>
      <c r="M559" t="s">
        <v>39</v>
      </c>
      <c r="N559">
        <f>sales_data_1[[#This Row],[Unit_Price]]-sales_data_1[[#This Row],[Unit_Cost]]</f>
        <v>112.4399999999996</v>
      </c>
      <c r="O559">
        <f>sales_data_1[[#This Row],[Unit_Price]]*sales_data_1[[#This Row],[Quantity_Sold]]</f>
        <v>169464.75</v>
      </c>
      <c r="P559">
        <f>sales_data_1[[#This Row],[Unit - cost]]*sales_data_1[[#This Row],[Quantity_Sold]]</f>
        <v>4385.1599999999844</v>
      </c>
    </row>
    <row r="560" spans="1:16" x14ac:dyDescent="0.3">
      <c r="A560">
        <v>1040</v>
      </c>
      <c r="B560" s="1">
        <v>44941</v>
      </c>
      <c r="C560" t="s">
        <v>32</v>
      </c>
      <c r="D560" t="s">
        <v>14</v>
      </c>
      <c r="E560">
        <v>19</v>
      </c>
      <c r="F560" t="s">
        <v>15</v>
      </c>
      <c r="G560">
        <v>342.3</v>
      </c>
      <c r="H560">
        <v>768.06</v>
      </c>
      <c r="I560" t="s">
        <v>16</v>
      </c>
      <c r="J560">
        <v>0.09</v>
      </c>
      <c r="K560" t="s">
        <v>30</v>
      </c>
      <c r="L560" t="s">
        <v>18</v>
      </c>
      <c r="M560" t="s">
        <v>52</v>
      </c>
      <c r="N560">
        <f>sales_data_1[[#This Row],[Unit_Price]]-sales_data_1[[#This Row],[Unit_Cost]]</f>
        <v>425.75999999999993</v>
      </c>
      <c r="O560">
        <f>sales_data_1[[#This Row],[Unit_Price]]*sales_data_1[[#This Row],[Quantity_Sold]]</f>
        <v>14593.14</v>
      </c>
      <c r="P560">
        <f>sales_data_1[[#This Row],[Unit - cost]]*sales_data_1[[#This Row],[Quantity_Sold]]</f>
        <v>8089.4399999999987</v>
      </c>
    </row>
    <row r="561" spans="1:16" x14ac:dyDescent="0.3">
      <c r="A561">
        <v>1074</v>
      </c>
      <c r="B561" s="1">
        <v>44930</v>
      </c>
      <c r="C561" t="s">
        <v>37</v>
      </c>
      <c r="D561" t="s">
        <v>24</v>
      </c>
      <c r="E561">
        <v>38</v>
      </c>
      <c r="F561" t="s">
        <v>15</v>
      </c>
      <c r="G561">
        <v>1394.74</v>
      </c>
      <c r="H561">
        <v>1848.69</v>
      </c>
      <c r="I561" t="s">
        <v>16</v>
      </c>
      <c r="J561">
        <v>0</v>
      </c>
      <c r="K561" t="s">
        <v>26</v>
      </c>
      <c r="L561" t="s">
        <v>21</v>
      </c>
      <c r="M561" t="s">
        <v>38</v>
      </c>
      <c r="N561">
        <f>sales_data_1[[#This Row],[Unit_Price]]-sales_data_1[[#This Row],[Unit_Cost]]</f>
        <v>453.95000000000005</v>
      </c>
      <c r="O561">
        <f>sales_data_1[[#This Row],[Unit_Price]]*sales_data_1[[#This Row],[Quantity_Sold]]</f>
        <v>70250.22</v>
      </c>
      <c r="P561">
        <f>sales_data_1[[#This Row],[Unit - cost]]*sales_data_1[[#This Row],[Quantity_Sold]]</f>
        <v>17250.100000000002</v>
      </c>
    </row>
    <row r="562" spans="1:16" x14ac:dyDescent="0.3">
      <c r="A562">
        <v>1043</v>
      </c>
      <c r="B562" s="1">
        <v>45275</v>
      </c>
      <c r="C562" t="s">
        <v>23</v>
      </c>
      <c r="D562" t="s">
        <v>20</v>
      </c>
      <c r="E562">
        <v>6</v>
      </c>
      <c r="F562" t="s">
        <v>28</v>
      </c>
      <c r="G562">
        <v>563.59</v>
      </c>
      <c r="H562">
        <v>838.97</v>
      </c>
      <c r="I562" t="s">
        <v>29</v>
      </c>
      <c r="J562">
        <v>0.17</v>
      </c>
      <c r="K562" t="s">
        <v>30</v>
      </c>
      <c r="L562" t="s">
        <v>18</v>
      </c>
      <c r="M562" t="s">
        <v>46</v>
      </c>
      <c r="N562">
        <f>sales_data_1[[#This Row],[Unit_Price]]-sales_data_1[[#This Row],[Unit_Cost]]</f>
        <v>275.38</v>
      </c>
      <c r="O562">
        <f>sales_data_1[[#This Row],[Unit_Price]]*sales_data_1[[#This Row],[Quantity_Sold]]</f>
        <v>5033.82</v>
      </c>
      <c r="P562">
        <f>sales_data_1[[#This Row],[Unit - cost]]*sales_data_1[[#This Row],[Quantity_Sold]]</f>
        <v>1652.28</v>
      </c>
    </row>
    <row r="563" spans="1:16" x14ac:dyDescent="0.3">
      <c r="A563">
        <v>1044</v>
      </c>
      <c r="B563" s="1">
        <v>45136</v>
      </c>
      <c r="C563" t="s">
        <v>41</v>
      </c>
      <c r="D563" t="s">
        <v>14</v>
      </c>
      <c r="E563">
        <v>47</v>
      </c>
      <c r="F563" t="s">
        <v>34</v>
      </c>
      <c r="G563">
        <v>1512.34</v>
      </c>
      <c r="H563">
        <v>1830.76</v>
      </c>
      <c r="I563" t="s">
        <v>29</v>
      </c>
      <c r="J563">
        <v>0.12</v>
      </c>
      <c r="K563" t="s">
        <v>26</v>
      </c>
      <c r="L563" t="s">
        <v>18</v>
      </c>
      <c r="M563" t="s">
        <v>48</v>
      </c>
      <c r="N563">
        <f>sales_data_1[[#This Row],[Unit_Price]]-sales_data_1[[#This Row],[Unit_Cost]]</f>
        <v>318.42000000000007</v>
      </c>
      <c r="O563">
        <f>sales_data_1[[#This Row],[Unit_Price]]*sales_data_1[[#This Row],[Quantity_Sold]]</f>
        <v>86045.72</v>
      </c>
      <c r="P563">
        <f>sales_data_1[[#This Row],[Unit - cost]]*sales_data_1[[#This Row],[Quantity_Sold]]</f>
        <v>14965.740000000003</v>
      </c>
    </row>
    <row r="564" spans="1:16" x14ac:dyDescent="0.3">
      <c r="A564">
        <v>1029</v>
      </c>
      <c r="B564" s="1">
        <v>45087</v>
      </c>
      <c r="C564" t="s">
        <v>37</v>
      </c>
      <c r="D564" t="s">
        <v>33</v>
      </c>
      <c r="E564">
        <v>15</v>
      </c>
      <c r="F564" t="s">
        <v>28</v>
      </c>
      <c r="G564">
        <v>498.27</v>
      </c>
      <c r="H564">
        <v>634.16</v>
      </c>
      <c r="I564" t="s">
        <v>16</v>
      </c>
      <c r="J564">
        <v>0.11</v>
      </c>
      <c r="K564" t="s">
        <v>30</v>
      </c>
      <c r="L564" t="s">
        <v>21</v>
      </c>
      <c r="M564" t="s">
        <v>47</v>
      </c>
      <c r="N564">
        <f>sales_data_1[[#This Row],[Unit_Price]]-sales_data_1[[#This Row],[Unit_Cost]]</f>
        <v>135.88999999999999</v>
      </c>
      <c r="O564">
        <f>sales_data_1[[#This Row],[Unit_Price]]*sales_data_1[[#This Row],[Quantity_Sold]]</f>
        <v>9512.4</v>
      </c>
      <c r="P564">
        <f>sales_data_1[[#This Row],[Unit - cost]]*sales_data_1[[#This Row],[Quantity_Sold]]</f>
        <v>2038.35</v>
      </c>
    </row>
    <row r="565" spans="1:16" x14ac:dyDescent="0.3">
      <c r="A565">
        <v>1013</v>
      </c>
      <c r="B565" s="1">
        <v>44942</v>
      </c>
      <c r="C565" t="s">
        <v>37</v>
      </c>
      <c r="D565" t="s">
        <v>33</v>
      </c>
      <c r="E565">
        <v>20</v>
      </c>
      <c r="F565" t="s">
        <v>28</v>
      </c>
      <c r="G565">
        <v>3356.62</v>
      </c>
      <c r="H565">
        <v>3759.0099999999998</v>
      </c>
      <c r="I565" t="s">
        <v>16</v>
      </c>
      <c r="J565">
        <v>0.05</v>
      </c>
      <c r="K565" t="s">
        <v>30</v>
      </c>
      <c r="L565" t="s">
        <v>21</v>
      </c>
      <c r="M565" t="s">
        <v>47</v>
      </c>
      <c r="N565">
        <f>sales_data_1[[#This Row],[Unit_Price]]-sales_data_1[[#This Row],[Unit_Cost]]</f>
        <v>402.38999999999987</v>
      </c>
      <c r="O565">
        <f>sales_data_1[[#This Row],[Unit_Price]]*sales_data_1[[#This Row],[Quantity_Sold]]</f>
        <v>75180.2</v>
      </c>
      <c r="P565">
        <f>sales_data_1[[#This Row],[Unit - cost]]*sales_data_1[[#This Row],[Quantity_Sold]]</f>
        <v>8047.7999999999975</v>
      </c>
    </row>
    <row r="566" spans="1:16" x14ac:dyDescent="0.3">
      <c r="A566">
        <v>1012</v>
      </c>
      <c r="B566" s="1">
        <v>45034</v>
      </c>
      <c r="C566" t="s">
        <v>41</v>
      </c>
      <c r="D566" t="s">
        <v>24</v>
      </c>
      <c r="E566">
        <v>9</v>
      </c>
      <c r="F566" t="s">
        <v>34</v>
      </c>
      <c r="G566">
        <v>709.97</v>
      </c>
      <c r="H566">
        <v>1029.71</v>
      </c>
      <c r="I566" t="s">
        <v>16</v>
      </c>
      <c r="J566">
        <v>0.13</v>
      </c>
      <c r="K566" t="s">
        <v>26</v>
      </c>
      <c r="L566" t="s">
        <v>21</v>
      </c>
      <c r="M566" t="s">
        <v>42</v>
      </c>
      <c r="N566">
        <f>sales_data_1[[#This Row],[Unit_Price]]-sales_data_1[[#This Row],[Unit_Cost]]</f>
        <v>319.74</v>
      </c>
      <c r="O566">
        <f>sales_data_1[[#This Row],[Unit_Price]]*sales_data_1[[#This Row],[Quantity_Sold]]</f>
        <v>9267.39</v>
      </c>
      <c r="P566">
        <f>sales_data_1[[#This Row],[Unit - cost]]*sales_data_1[[#This Row],[Quantity_Sold]]</f>
        <v>2877.66</v>
      </c>
    </row>
    <row r="567" spans="1:16" x14ac:dyDescent="0.3">
      <c r="A567">
        <v>1095</v>
      </c>
      <c r="B567" s="1">
        <v>45237</v>
      </c>
      <c r="C567" t="s">
        <v>32</v>
      </c>
      <c r="D567" t="s">
        <v>20</v>
      </c>
      <c r="E567">
        <v>32</v>
      </c>
      <c r="F567" t="s">
        <v>28</v>
      </c>
      <c r="G567">
        <v>4266.6400000000003</v>
      </c>
      <c r="H567">
        <v>4523.3600000000006</v>
      </c>
      <c r="I567" t="s">
        <v>29</v>
      </c>
      <c r="J567">
        <v>0.3</v>
      </c>
      <c r="K567" t="s">
        <v>26</v>
      </c>
      <c r="L567" t="s">
        <v>21</v>
      </c>
      <c r="M567" t="s">
        <v>36</v>
      </c>
      <c r="N567">
        <f>sales_data_1[[#This Row],[Unit_Price]]-sales_data_1[[#This Row],[Unit_Cost]]</f>
        <v>256.72000000000025</v>
      </c>
      <c r="O567">
        <f>sales_data_1[[#This Row],[Unit_Price]]*sales_data_1[[#This Row],[Quantity_Sold]]</f>
        <v>144747.52000000002</v>
      </c>
      <c r="P567">
        <f>sales_data_1[[#This Row],[Unit - cost]]*sales_data_1[[#This Row],[Quantity_Sold]]</f>
        <v>8215.0400000000081</v>
      </c>
    </row>
    <row r="568" spans="1:16" x14ac:dyDescent="0.3">
      <c r="A568">
        <v>1046</v>
      </c>
      <c r="B568" s="1">
        <v>45153</v>
      </c>
      <c r="C568" t="s">
        <v>41</v>
      </c>
      <c r="D568" t="s">
        <v>24</v>
      </c>
      <c r="E568">
        <v>4</v>
      </c>
      <c r="F568" t="s">
        <v>15</v>
      </c>
      <c r="G568">
        <v>4095.1</v>
      </c>
      <c r="H568">
        <v>4134.55</v>
      </c>
      <c r="I568" t="s">
        <v>16</v>
      </c>
      <c r="J568">
        <v>0.09</v>
      </c>
      <c r="K568" t="s">
        <v>26</v>
      </c>
      <c r="L568" t="s">
        <v>21</v>
      </c>
      <c r="M568" t="s">
        <v>42</v>
      </c>
      <c r="N568">
        <f>sales_data_1[[#This Row],[Unit_Price]]-sales_data_1[[#This Row],[Unit_Cost]]</f>
        <v>39.450000000000273</v>
      </c>
      <c r="O568">
        <f>sales_data_1[[#This Row],[Unit_Price]]*sales_data_1[[#This Row],[Quantity_Sold]]</f>
        <v>16538.2</v>
      </c>
      <c r="P568">
        <f>sales_data_1[[#This Row],[Unit - cost]]*sales_data_1[[#This Row],[Quantity_Sold]]</f>
        <v>157.80000000000109</v>
      </c>
    </row>
    <row r="569" spans="1:16" x14ac:dyDescent="0.3">
      <c r="A569">
        <v>1002</v>
      </c>
      <c r="B569" s="1">
        <v>45096</v>
      </c>
      <c r="C569" t="s">
        <v>37</v>
      </c>
      <c r="D569" t="s">
        <v>20</v>
      </c>
      <c r="E569">
        <v>18</v>
      </c>
      <c r="F569" t="s">
        <v>25</v>
      </c>
      <c r="G569">
        <v>117.63</v>
      </c>
      <c r="H569">
        <v>576.44000000000005</v>
      </c>
      <c r="I569" t="s">
        <v>29</v>
      </c>
      <c r="J569">
        <v>0.18</v>
      </c>
      <c r="K569" t="s">
        <v>30</v>
      </c>
      <c r="L569" t="s">
        <v>21</v>
      </c>
      <c r="M569" t="s">
        <v>40</v>
      </c>
      <c r="N569">
        <f>sales_data_1[[#This Row],[Unit_Price]]-sales_data_1[[#This Row],[Unit_Cost]]</f>
        <v>458.81000000000006</v>
      </c>
      <c r="O569">
        <f>sales_data_1[[#This Row],[Unit_Price]]*sales_data_1[[#This Row],[Quantity_Sold]]</f>
        <v>10375.920000000002</v>
      </c>
      <c r="P569">
        <f>sales_data_1[[#This Row],[Unit - cost]]*sales_data_1[[#This Row],[Quantity_Sold]]</f>
        <v>8258.5800000000017</v>
      </c>
    </row>
    <row r="570" spans="1:16" x14ac:dyDescent="0.3">
      <c r="A570">
        <v>1035</v>
      </c>
      <c r="B570" s="1">
        <v>44960</v>
      </c>
      <c r="C570" t="s">
        <v>32</v>
      </c>
      <c r="D570" t="s">
        <v>14</v>
      </c>
      <c r="E570">
        <v>5</v>
      </c>
      <c r="F570" t="s">
        <v>25</v>
      </c>
      <c r="G570">
        <v>4483.8500000000004</v>
      </c>
      <c r="H570">
        <v>4795.42</v>
      </c>
      <c r="I570" t="s">
        <v>16</v>
      </c>
      <c r="J570">
        <v>0.23</v>
      </c>
      <c r="K570" t="s">
        <v>17</v>
      </c>
      <c r="L570" t="s">
        <v>18</v>
      </c>
      <c r="M570" t="s">
        <v>52</v>
      </c>
      <c r="N570">
        <f>sales_data_1[[#This Row],[Unit_Price]]-sales_data_1[[#This Row],[Unit_Cost]]</f>
        <v>311.56999999999971</v>
      </c>
      <c r="O570">
        <f>sales_data_1[[#This Row],[Unit_Price]]*sales_data_1[[#This Row],[Quantity_Sold]]</f>
        <v>23977.1</v>
      </c>
      <c r="P570">
        <f>sales_data_1[[#This Row],[Unit - cost]]*sales_data_1[[#This Row],[Quantity_Sold]]</f>
        <v>1557.8499999999985</v>
      </c>
    </row>
    <row r="571" spans="1:16" x14ac:dyDescent="0.3">
      <c r="A571">
        <v>1087</v>
      </c>
      <c r="B571" s="1">
        <v>45177</v>
      </c>
      <c r="C571" t="s">
        <v>32</v>
      </c>
      <c r="D571" t="s">
        <v>14</v>
      </c>
      <c r="E571">
        <v>20</v>
      </c>
      <c r="F571" t="s">
        <v>28</v>
      </c>
      <c r="G571">
        <v>193.27</v>
      </c>
      <c r="H571">
        <v>297.69</v>
      </c>
      <c r="I571" t="s">
        <v>29</v>
      </c>
      <c r="J571">
        <v>0.22</v>
      </c>
      <c r="K571" t="s">
        <v>17</v>
      </c>
      <c r="L571" t="s">
        <v>18</v>
      </c>
      <c r="M571" t="s">
        <v>52</v>
      </c>
      <c r="N571">
        <f>sales_data_1[[#This Row],[Unit_Price]]-sales_data_1[[#This Row],[Unit_Cost]]</f>
        <v>104.41999999999999</v>
      </c>
      <c r="O571">
        <f>sales_data_1[[#This Row],[Unit_Price]]*sales_data_1[[#This Row],[Quantity_Sold]]</f>
        <v>5953.8</v>
      </c>
      <c r="P571">
        <f>sales_data_1[[#This Row],[Unit - cost]]*sales_data_1[[#This Row],[Quantity_Sold]]</f>
        <v>2088.3999999999996</v>
      </c>
    </row>
    <row r="572" spans="1:16" x14ac:dyDescent="0.3">
      <c r="A572">
        <v>1081</v>
      </c>
      <c r="B572" s="1">
        <v>45173</v>
      </c>
      <c r="C572" t="s">
        <v>41</v>
      </c>
      <c r="D572" t="s">
        <v>14</v>
      </c>
      <c r="E572">
        <v>23</v>
      </c>
      <c r="F572" t="s">
        <v>34</v>
      </c>
      <c r="G572">
        <v>1236.25</v>
      </c>
      <c r="H572">
        <v>1543.38</v>
      </c>
      <c r="I572" t="s">
        <v>29</v>
      </c>
      <c r="J572">
        <v>0.1</v>
      </c>
      <c r="K572" t="s">
        <v>26</v>
      </c>
      <c r="L572" t="s">
        <v>18</v>
      </c>
      <c r="M572" t="s">
        <v>48</v>
      </c>
      <c r="N572">
        <f>sales_data_1[[#This Row],[Unit_Price]]-sales_data_1[[#This Row],[Unit_Cost]]</f>
        <v>307.13000000000011</v>
      </c>
      <c r="O572">
        <f>sales_data_1[[#This Row],[Unit_Price]]*sales_data_1[[#This Row],[Quantity_Sold]]</f>
        <v>35497.740000000005</v>
      </c>
      <c r="P572">
        <f>sales_data_1[[#This Row],[Unit - cost]]*sales_data_1[[#This Row],[Quantity_Sold]]</f>
        <v>7063.9900000000025</v>
      </c>
    </row>
    <row r="573" spans="1:16" x14ac:dyDescent="0.3">
      <c r="A573">
        <v>1090</v>
      </c>
      <c r="B573" s="1">
        <v>45195</v>
      </c>
      <c r="C573" t="s">
        <v>37</v>
      </c>
      <c r="D573" t="s">
        <v>14</v>
      </c>
      <c r="E573">
        <v>11</v>
      </c>
      <c r="F573" t="s">
        <v>34</v>
      </c>
      <c r="G573">
        <v>210.33</v>
      </c>
      <c r="H573">
        <v>552.29</v>
      </c>
      <c r="I573" t="s">
        <v>16</v>
      </c>
      <c r="J573">
        <v>0.18</v>
      </c>
      <c r="K573" t="s">
        <v>17</v>
      </c>
      <c r="L573" t="s">
        <v>21</v>
      </c>
      <c r="M573" t="s">
        <v>39</v>
      </c>
      <c r="N573">
        <f>sales_data_1[[#This Row],[Unit_Price]]-sales_data_1[[#This Row],[Unit_Cost]]</f>
        <v>341.95999999999992</v>
      </c>
      <c r="O573">
        <f>sales_data_1[[#This Row],[Unit_Price]]*sales_data_1[[#This Row],[Quantity_Sold]]</f>
        <v>6075.19</v>
      </c>
      <c r="P573">
        <f>sales_data_1[[#This Row],[Unit - cost]]*sales_data_1[[#This Row],[Quantity_Sold]]</f>
        <v>3761.559999999999</v>
      </c>
    </row>
    <row r="574" spans="1:16" x14ac:dyDescent="0.3">
      <c r="A574">
        <v>1008</v>
      </c>
      <c r="B574" s="1">
        <v>45067</v>
      </c>
      <c r="C574" t="s">
        <v>23</v>
      </c>
      <c r="D574" t="s">
        <v>33</v>
      </c>
      <c r="E574">
        <v>37</v>
      </c>
      <c r="F574" t="s">
        <v>15</v>
      </c>
      <c r="G574">
        <v>1712.43</v>
      </c>
      <c r="H574">
        <v>1980.06</v>
      </c>
      <c r="I574" t="s">
        <v>29</v>
      </c>
      <c r="J574">
        <v>0.26</v>
      </c>
      <c r="K574" t="s">
        <v>17</v>
      </c>
      <c r="L574" t="s">
        <v>18</v>
      </c>
      <c r="M574" t="s">
        <v>49</v>
      </c>
      <c r="N574">
        <f>sales_data_1[[#This Row],[Unit_Price]]-sales_data_1[[#This Row],[Unit_Cost]]</f>
        <v>267.62999999999988</v>
      </c>
      <c r="O574">
        <f>sales_data_1[[#This Row],[Unit_Price]]*sales_data_1[[#This Row],[Quantity_Sold]]</f>
        <v>73262.22</v>
      </c>
      <c r="P574">
        <f>sales_data_1[[#This Row],[Unit - cost]]*sales_data_1[[#This Row],[Quantity_Sold]]</f>
        <v>9902.3099999999959</v>
      </c>
    </row>
    <row r="575" spans="1:16" x14ac:dyDescent="0.3">
      <c r="A575">
        <v>1093</v>
      </c>
      <c r="B575" s="1">
        <v>45200</v>
      </c>
      <c r="C575" t="s">
        <v>37</v>
      </c>
      <c r="D575" t="s">
        <v>33</v>
      </c>
      <c r="E575">
        <v>22</v>
      </c>
      <c r="F575" t="s">
        <v>34</v>
      </c>
      <c r="G575">
        <v>2593.64</v>
      </c>
      <c r="H575">
        <v>2955.5099999999998</v>
      </c>
      <c r="I575" t="s">
        <v>16</v>
      </c>
      <c r="J575">
        <v>0</v>
      </c>
      <c r="K575" t="s">
        <v>26</v>
      </c>
      <c r="L575" t="s">
        <v>21</v>
      </c>
      <c r="M575" t="s">
        <v>47</v>
      </c>
      <c r="N575">
        <f>sales_data_1[[#This Row],[Unit_Price]]-sales_data_1[[#This Row],[Unit_Cost]]</f>
        <v>361.86999999999989</v>
      </c>
      <c r="O575">
        <f>sales_data_1[[#This Row],[Unit_Price]]*sales_data_1[[#This Row],[Quantity_Sold]]</f>
        <v>65021.219999999994</v>
      </c>
      <c r="P575">
        <f>sales_data_1[[#This Row],[Unit - cost]]*sales_data_1[[#This Row],[Quantity_Sold]]</f>
        <v>7961.1399999999976</v>
      </c>
    </row>
    <row r="576" spans="1:16" x14ac:dyDescent="0.3">
      <c r="A576">
        <v>1026</v>
      </c>
      <c r="B576" s="1">
        <v>45022</v>
      </c>
      <c r="C576" t="s">
        <v>13</v>
      </c>
      <c r="D576" t="s">
        <v>24</v>
      </c>
      <c r="E576">
        <v>4</v>
      </c>
      <c r="F576" t="s">
        <v>34</v>
      </c>
      <c r="G576">
        <v>3993.39</v>
      </c>
      <c r="H576">
        <v>4288.3</v>
      </c>
      <c r="I576" t="s">
        <v>29</v>
      </c>
      <c r="J576">
        <v>0.13</v>
      </c>
      <c r="K576" t="s">
        <v>30</v>
      </c>
      <c r="L576" t="s">
        <v>18</v>
      </c>
      <c r="M576" t="s">
        <v>31</v>
      </c>
      <c r="N576">
        <f>sales_data_1[[#This Row],[Unit_Price]]-sales_data_1[[#This Row],[Unit_Cost]]</f>
        <v>294.91000000000031</v>
      </c>
      <c r="O576">
        <f>sales_data_1[[#This Row],[Unit_Price]]*sales_data_1[[#This Row],[Quantity_Sold]]</f>
        <v>17153.2</v>
      </c>
      <c r="P576">
        <f>sales_data_1[[#This Row],[Unit - cost]]*sales_data_1[[#This Row],[Quantity_Sold]]</f>
        <v>1179.6400000000012</v>
      </c>
    </row>
    <row r="577" spans="1:16" x14ac:dyDescent="0.3">
      <c r="A577">
        <v>1074</v>
      </c>
      <c r="B577" s="1">
        <v>45153</v>
      </c>
      <c r="C577" t="s">
        <v>23</v>
      </c>
      <c r="D577" t="s">
        <v>20</v>
      </c>
      <c r="E577">
        <v>29</v>
      </c>
      <c r="F577" t="s">
        <v>15</v>
      </c>
      <c r="G577">
        <v>1723.01</v>
      </c>
      <c r="H577">
        <v>2197.42</v>
      </c>
      <c r="I577" t="s">
        <v>29</v>
      </c>
      <c r="J577">
        <v>7.0000000000000007E-2</v>
      </c>
      <c r="K577" t="s">
        <v>26</v>
      </c>
      <c r="L577" t="s">
        <v>21</v>
      </c>
      <c r="M577" t="s">
        <v>46</v>
      </c>
      <c r="N577">
        <f>sales_data_1[[#This Row],[Unit_Price]]-sales_data_1[[#This Row],[Unit_Cost]]</f>
        <v>474.41000000000008</v>
      </c>
      <c r="O577">
        <f>sales_data_1[[#This Row],[Unit_Price]]*sales_data_1[[#This Row],[Quantity_Sold]]</f>
        <v>63725.18</v>
      </c>
      <c r="P577">
        <f>sales_data_1[[#This Row],[Unit - cost]]*sales_data_1[[#This Row],[Quantity_Sold]]</f>
        <v>13757.890000000003</v>
      </c>
    </row>
    <row r="578" spans="1:16" x14ac:dyDescent="0.3">
      <c r="A578">
        <v>1090</v>
      </c>
      <c r="B578" s="1">
        <v>44965</v>
      </c>
      <c r="C578" t="s">
        <v>32</v>
      </c>
      <c r="D578" t="s">
        <v>14</v>
      </c>
      <c r="E578">
        <v>44</v>
      </c>
      <c r="F578" t="s">
        <v>28</v>
      </c>
      <c r="G578">
        <v>3542.18</v>
      </c>
      <c r="H578">
        <v>3578.49</v>
      </c>
      <c r="I578" t="s">
        <v>16</v>
      </c>
      <c r="J578">
        <v>0.12</v>
      </c>
      <c r="K578" t="s">
        <v>17</v>
      </c>
      <c r="L578" t="s">
        <v>18</v>
      </c>
      <c r="M578" t="s">
        <v>52</v>
      </c>
      <c r="N578">
        <f>sales_data_1[[#This Row],[Unit_Price]]-sales_data_1[[#This Row],[Unit_Cost]]</f>
        <v>36.309999999999945</v>
      </c>
      <c r="O578">
        <f>sales_data_1[[#This Row],[Unit_Price]]*sales_data_1[[#This Row],[Quantity_Sold]]</f>
        <v>157453.56</v>
      </c>
      <c r="P578">
        <f>sales_data_1[[#This Row],[Unit - cost]]*sales_data_1[[#This Row],[Quantity_Sold]]</f>
        <v>1597.6399999999976</v>
      </c>
    </row>
    <row r="579" spans="1:16" x14ac:dyDescent="0.3">
      <c r="A579">
        <v>1034</v>
      </c>
      <c r="B579" s="1">
        <v>45228</v>
      </c>
      <c r="C579" t="s">
        <v>23</v>
      </c>
      <c r="D579" t="s">
        <v>14</v>
      </c>
      <c r="E579">
        <v>34</v>
      </c>
      <c r="F579" t="s">
        <v>25</v>
      </c>
      <c r="G579">
        <v>978.15</v>
      </c>
      <c r="H579">
        <v>1040.21</v>
      </c>
      <c r="I579" t="s">
        <v>29</v>
      </c>
      <c r="J579">
        <v>0.12</v>
      </c>
      <c r="K579" t="s">
        <v>30</v>
      </c>
      <c r="L579" t="s">
        <v>21</v>
      </c>
      <c r="M579" t="s">
        <v>44</v>
      </c>
      <c r="N579">
        <f>sales_data_1[[#This Row],[Unit_Price]]-sales_data_1[[#This Row],[Unit_Cost]]</f>
        <v>62.060000000000059</v>
      </c>
      <c r="O579">
        <f>sales_data_1[[#This Row],[Unit_Price]]*sales_data_1[[#This Row],[Quantity_Sold]]</f>
        <v>35367.14</v>
      </c>
      <c r="P579">
        <f>sales_data_1[[#This Row],[Unit - cost]]*sales_data_1[[#This Row],[Quantity_Sold]]</f>
        <v>2110.0400000000018</v>
      </c>
    </row>
    <row r="580" spans="1:16" x14ac:dyDescent="0.3">
      <c r="A580">
        <v>1007</v>
      </c>
      <c r="B580" s="1">
        <v>44955</v>
      </c>
      <c r="C580" t="s">
        <v>32</v>
      </c>
      <c r="D580" t="s">
        <v>20</v>
      </c>
      <c r="E580">
        <v>13</v>
      </c>
      <c r="F580" t="s">
        <v>15</v>
      </c>
      <c r="G580">
        <v>3765.46</v>
      </c>
      <c r="H580">
        <v>3860.56</v>
      </c>
      <c r="I580" t="s">
        <v>16</v>
      </c>
      <c r="J580">
        <v>0.22</v>
      </c>
      <c r="K580" t="s">
        <v>17</v>
      </c>
      <c r="L580" t="s">
        <v>21</v>
      </c>
      <c r="M580" t="s">
        <v>36</v>
      </c>
      <c r="N580">
        <f>sales_data_1[[#This Row],[Unit_Price]]-sales_data_1[[#This Row],[Unit_Cost]]</f>
        <v>95.099999999999909</v>
      </c>
      <c r="O580">
        <f>sales_data_1[[#This Row],[Unit_Price]]*sales_data_1[[#This Row],[Quantity_Sold]]</f>
        <v>50187.28</v>
      </c>
      <c r="P580">
        <f>sales_data_1[[#This Row],[Unit - cost]]*sales_data_1[[#This Row],[Quantity_Sold]]</f>
        <v>1236.2999999999988</v>
      </c>
    </row>
    <row r="581" spans="1:16" x14ac:dyDescent="0.3">
      <c r="A581">
        <v>1068</v>
      </c>
      <c r="B581" s="1">
        <v>45244</v>
      </c>
      <c r="C581" t="s">
        <v>32</v>
      </c>
      <c r="D581" t="s">
        <v>20</v>
      </c>
      <c r="E581">
        <v>42</v>
      </c>
      <c r="F581" t="s">
        <v>28</v>
      </c>
      <c r="G581">
        <v>1218.18</v>
      </c>
      <c r="H581">
        <v>1566.3600000000001</v>
      </c>
      <c r="I581" t="s">
        <v>16</v>
      </c>
      <c r="J581">
        <v>0.03</v>
      </c>
      <c r="K581" t="s">
        <v>30</v>
      </c>
      <c r="L581" t="s">
        <v>21</v>
      </c>
      <c r="M581" t="s">
        <v>36</v>
      </c>
      <c r="N581">
        <f>sales_data_1[[#This Row],[Unit_Price]]-sales_data_1[[#This Row],[Unit_Cost]]</f>
        <v>348.18000000000006</v>
      </c>
      <c r="O581">
        <f>sales_data_1[[#This Row],[Unit_Price]]*sales_data_1[[#This Row],[Quantity_Sold]]</f>
        <v>65787.12000000001</v>
      </c>
      <c r="P581">
        <f>sales_data_1[[#This Row],[Unit - cost]]*sales_data_1[[#This Row],[Quantity_Sold]]</f>
        <v>14623.560000000003</v>
      </c>
    </row>
    <row r="582" spans="1:16" x14ac:dyDescent="0.3">
      <c r="A582">
        <v>1058</v>
      </c>
      <c r="B582" s="1">
        <v>45171</v>
      </c>
      <c r="C582" t="s">
        <v>23</v>
      </c>
      <c r="D582" t="s">
        <v>24</v>
      </c>
      <c r="E582">
        <v>9</v>
      </c>
      <c r="F582" t="s">
        <v>15</v>
      </c>
      <c r="G582">
        <v>760.55</v>
      </c>
      <c r="H582">
        <v>1086.8899999999999</v>
      </c>
      <c r="I582" t="s">
        <v>16</v>
      </c>
      <c r="J582">
        <v>0.15</v>
      </c>
      <c r="K582" t="s">
        <v>17</v>
      </c>
      <c r="L582" t="s">
        <v>21</v>
      </c>
      <c r="M582" t="s">
        <v>27</v>
      </c>
      <c r="N582">
        <f>sales_data_1[[#This Row],[Unit_Price]]-sales_data_1[[#This Row],[Unit_Cost]]</f>
        <v>326.33999999999992</v>
      </c>
      <c r="O582">
        <f>sales_data_1[[#This Row],[Unit_Price]]*sales_data_1[[#This Row],[Quantity_Sold]]</f>
        <v>9782.0099999999984</v>
      </c>
      <c r="P582">
        <f>sales_data_1[[#This Row],[Unit - cost]]*sales_data_1[[#This Row],[Quantity_Sold]]</f>
        <v>2937.0599999999995</v>
      </c>
    </row>
    <row r="583" spans="1:16" x14ac:dyDescent="0.3">
      <c r="A583">
        <v>1075</v>
      </c>
      <c r="B583" s="1">
        <v>45162</v>
      </c>
      <c r="C583" t="s">
        <v>32</v>
      </c>
      <c r="D583" t="s">
        <v>20</v>
      </c>
      <c r="E583">
        <v>42</v>
      </c>
      <c r="F583" t="s">
        <v>28</v>
      </c>
      <c r="G583">
        <v>967.77</v>
      </c>
      <c r="H583">
        <v>1414.88</v>
      </c>
      <c r="I583" t="s">
        <v>29</v>
      </c>
      <c r="J583">
        <v>0.17</v>
      </c>
      <c r="K583" t="s">
        <v>26</v>
      </c>
      <c r="L583" t="s">
        <v>18</v>
      </c>
      <c r="M583" t="s">
        <v>36</v>
      </c>
      <c r="N583">
        <f>sales_data_1[[#This Row],[Unit_Price]]-sales_data_1[[#This Row],[Unit_Cost]]</f>
        <v>447.11000000000013</v>
      </c>
      <c r="O583">
        <f>sales_data_1[[#This Row],[Unit_Price]]*sales_data_1[[#This Row],[Quantity_Sold]]</f>
        <v>59424.960000000006</v>
      </c>
      <c r="P583">
        <f>sales_data_1[[#This Row],[Unit - cost]]*sales_data_1[[#This Row],[Quantity_Sold]]</f>
        <v>18778.620000000006</v>
      </c>
    </row>
    <row r="584" spans="1:16" x14ac:dyDescent="0.3">
      <c r="A584">
        <v>1029</v>
      </c>
      <c r="B584" s="1">
        <v>45111</v>
      </c>
      <c r="C584" t="s">
        <v>32</v>
      </c>
      <c r="D584" t="s">
        <v>14</v>
      </c>
      <c r="E584">
        <v>31</v>
      </c>
      <c r="F584" t="s">
        <v>15</v>
      </c>
      <c r="G584">
        <v>951.21</v>
      </c>
      <c r="H584">
        <v>1320.3200000000002</v>
      </c>
      <c r="I584" t="s">
        <v>29</v>
      </c>
      <c r="J584">
        <v>0.15</v>
      </c>
      <c r="K584" t="s">
        <v>17</v>
      </c>
      <c r="L584" t="s">
        <v>18</v>
      </c>
      <c r="M584" t="s">
        <v>52</v>
      </c>
      <c r="N584">
        <f>sales_data_1[[#This Row],[Unit_Price]]-sales_data_1[[#This Row],[Unit_Cost]]</f>
        <v>369.11000000000013</v>
      </c>
      <c r="O584">
        <f>sales_data_1[[#This Row],[Unit_Price]]*sales_data_1[[#This Row],[Quantity_Sold]]</f>
        <v>40929.920000000006</v>
      </c>
      <c r="P584">
        <f>sales_data_1[[#This Row],[Unit - cost]]*sales_data_1[[#This Row],[Quantity_Sold]]</f>
        <v>11442.410000000003</v>
      </c>
    </row>
    <row r="585" spans="1:16" x14ac:dyDescent="0.3">
      <c r="A585">
        <v>1036</v>
      </c>
      <c r="B585" s="1">
        <v>45198</v>
      </c>
      <c r="C585" t="s">
        <v>13</v>
      </c>
      <c r="D585" t="s">
        <v>14</v>
      </c>
      <c r="E585">
        <v>7</v>
      </c>
      <c r="F585" t="s">
        <v>28</v>
      </c>
      <c r="G585">
        <v>2588.67</v>
      </c>
      <c r="H585">
        <v>2847.76</v>
      </c>
      <c r="I585" t="s">
        <v>29</v>
      </c>
      <c r="J585">
        <v>0.22</v>
      </c>
      <c r="K585" t="s">
        <v>17</v>
      </c>
      <c r="L585" t="s">
        <v>21</v>
      </c>
      <c r="M585" t="s">
        <v>19</v>
      </c>
      <c r="N585">
        <f>sales_data_1[[#This Row],[Unit_Price]]-sales_data_1[[#This Row],[Unit_Cost]]</f>
        <v>259.09000000000015</v>
      </c>
      <c r="O585">
        <f>sales_data_1[[#This Row],[Unit_Price]]*sales_data_1[[#This Row],[Quantity_Sold]]</f>
        <v>19934.32</v>
      </c>
      <c r="P585">
        <f>sales_data_1[[#This Row],[Unit - cost]]*sales_data_1[[#This Row],[Quantity_Sold]]</f>
        <v>1813.630000000001</v>
      </c>
    </row>
    <row r="586" spans="1:16" x14ac:dyDescent="0.3">
      <c r="A586">
        <v>1089</v>
      </c>
      <c r="B586" s="1">
        <v>45162</v>
      </c>
      <c r="C586" t="s">
        <v>37</v>
      </c>
      <c r="D586" t="s">
        <v>14</v>
      </c>
      <c r="E586">
        <v>4</v>
      </c>
      <c r="F586" t="s">
        <v>15</v>
      </c>
      <c r="G586">
        <v>4231.75</v>
      </c>
      <c r="H586">
        <v>4727.75</v>
      </c>
      <c r="I586" t="s">
        <v>16</v>
      </c>
      <c r="J586">
        <v>0.12</v>
      </c>
      <c r="K586" t="s">
        <v>30</v>
      </c>
      <c r="L586" t="s">
        <v>21</v>
      </c>
      <c r="M586" t="s">
        <v>39</v>
      </c>
      <c r="N586">
        <f>sales_data_1[[#This Row],[Unit_Price]]-sales_data_1[[#This Row],[Unit_Cost]]</f>
        <v>496</v>
      </c>
      <c r="O586">
        <f>sales_data_1[[#This Row],[Unit_Price]]*sales_data_1[[#This Row],[Quantity_Sold]]</f>
        <v>18911</v>
      </c>
      <c r="P586">
        <f>sales_data_1[[#This Row],[Unit - cost]]*sales_data_1[[#This Row],[Quantity_Sold]]</f>
        <v>1984</v>
      </c>
    </row>
    <row r="587" spans="1:16" x14ac:dyDescent="0.3">
      <c r="A587">
        <v>1021</v>
      </c>
      <c r="B587" s="1">
        <v>45165</v>
      </c>
      <c r="C587" t="s">
        <v>37</v>
      </c>
      <c r="D587" t="s">
        <v>14</v>
      </c>
      <c r="E587">
        <v>19</v>
      </c>
      <c r="F587" t="s">
        <v>28</v>
      </c>
      <c r="G587">
        <v>444.05</v>
      </c>
      <c r="H587">
        <v>584.44000000000005</v>
      </c>
      <c r="I587" t="s">
        <v>16</v>
      </c>
      <c r="J587">
        <v>0.28000000000000003</v>
      </c>
      <c r="K587" t="s">
        <v>17</v>
      </c>
      <c r="L587" t="s">
        <v>21</v>
      </c>
      <c r="M587" t="s">
        <v>39</v>
      </c>
      <c r="N587">
        <f>sales_data_1[[#This Row],[Unit_Price]]-sales_data_1[[#This Row],[Unit_Cost]]</f>
        <v>140.39000000000004</v>
      </c>
      <c r="O587">
        <f>sales_data_1[[#This Row],[Unit_Price]]*sales_data_1[[#This Row],[Quantity_Sold]]</f>
        <v>11104.36</v>
      </c>
      <c r="P587">
        <f>sales_data_1[[#This Row],[Unit - cost]]*sales_data_1[[#This Row],[Quantity_Sold]]</f>
        <v>2667.4100000000008</v>
      </c>
    </row>
    <row r="588" spans="1:16" x14ac:dyDescent="0.3">
      <c r="A588">
        <v>1036</v>
      </c>
      <c r="B588" s="1">
        <v>45192</v>
      </c>
      <c r="C588" t="s">
        <v>13</v>
      </c>
      <c r="D588" t="s">
        <v>14</v>
      </c>
      <c r="E588">
        <v>42</v>
      </c>
      <c r="F588" t="s">
        <v>15</v>
      </c>
      <c r="G588">
        <v>3549.43</v>
      </c>
      <c r="H588">
        <v>3967.6899999999996</v>
      </c>
      <c r="I588" t="s">
        <v>29</v>
      </c>
      <c r="J588">
        <v>0.14000000000000001</v>
      </c>
      <c r="K588" t="s">
        <v>26</v>
      </c>
      <c r="L588" t="s">
        <v>18</v>
      </c>
      <c r="M588" t="s">
        <v>19</v>
      </c>
      <c r="N588">
        <f>sales_data_1[[#This Row],[Unit_Price]]-sales_data_1[[#This Row],[Unit_Cost]]</f>
        <v>418.25999999999976</v>
      </c>
      <c r="O588">
        <f>sales_data_1[[#This Row],[Unit_Price]]*sales_data_1[[#This Row],[Quantity_Sold]]</f>
        <v>166642.97999999998</v>
      </c>
      <c r="P588">
        <f>sales_data_1[[#This Row],[Unit - cost]]*sales_data_1[[#This Row],[Quantity_Sold]]</f>
        <v>17566.919999999991</v>
      </c>
    </row>
    <row r="589" spans="1:16" x14ac:dyDescent="0.3">
      <c r="A589">
        <v>1010</v>
      </c>
      <c r="B589" s="1">
        <v>45285</v>
      </c>
      <c r="C589" t="s">
        <v>23</v>
      </c>
      <c r="D589" t="s">
        <v>24</v>
      </c>
      <c r="E589">
        <v>30</v>
      </c>
      <c r="F589" t="s">
        <v>25</v>
      </c>
      <c r="G589">
        <v>3289.01</v>
      </c>
      <c r="H589">
        <v>3508.1400000000003</v>
      </c>
      <c r="I589" t="s">
        <v>29</v>
      </c>
      <c r="J589">
        <v>0.17</v>
      </c>
      <c r="K589" t="s">
        <v>26</v>
      </c>
      <c r="L589" t="s">
        <v>21</v>
      </c>
      <c r="M589" t="s">
        <v>27</v>
      </c>
      <c r="N589">
        <f>sales_data_1[[#This Row],[Unit_Price]]-sales_data_1[[#This Row],[Unit_Cost]]</f>
        <v>219.13000000000011</v>
      </c>
      <c r="O589">
        <f>sales_data_1[[#This Row],[Unit_Price]]*sales_data_1[[#This Row],[Quantity_Sold]]</f>
        <v>105244.20000000001</v>
      </c>
      <c r="P589">
        <f>sales_data_1[[#This Row],[Unit - cost]]*sales_data_1[[#This Row],[Quantity_Sold]]</f>
        <v>6573.9000000000033</v>
      </c>
    </row>
    <row r="590" spans="1:16" x14ac:dyDescent="0.3">
      <c r="A590">
        <v>1073</v>
      </c>
      <c r="B590" s="1">
        <v>45266</v>
      </c>
      <c r="C590" t="s">
        <v>41</v>
      </c>
      <c r="D590" t="s">
        <v>14</v>
      </c>
      <c r="E590">
        <v>31</v>
      </c>
      <c r="F590" t="s">
        <v>25</v>
      </c>
      <c r="G590">
        <v>4368.97</v>
      </c>
      <c r="H590">
        <v>4696.8500000000004</v>
      </c>
      <c r="I590" t="s">
        <v>16</v>
      </c>
      <c r="J590">
        <v>0.25</v>
      </c>
      <c r="K590" t="s">
        <v>26</v>
      </c>
      <c r="L590" t="s">
        <v>21</v>
      </c>
      <c r="M590" t="s">
        <v>48</v>
      </c>
      <c r="N590">
        <f>sales_data_1[[#This Row],[Unit_Price]]-sales_data_1[[#This Row],[Unit_Cost]]</f>
        <v>327.88000000000011</v>
      </c>
      <c r="O590">
        <f>sales_data_1[[#This Row],[Unit_Price]]*sales_data_1[[#This Row],[Quantity_Sold]]</f>
        <v>145602.35</v>
      </c>
      <c r="P590">
        <f>sales_data_1[[#This Row],[Unit - cost]]*sales_data_1[[#This Row],[Quantity_Sold]]</f>
        <v>10164.280000000002</v>
      </c>
    </row>
    <row r="591" spans="1:16" x14ac:dyDescent="0.3">
      <c r="A591">
        <v>1024</v>
      </c>
      <c r="B591" s="1">
        <v>44991</v>
      </c>
      <c r="C591" t="s">
        <v>41</v>
      </c>
      <c r="D591" t="s">
        <v>24</v>
      </c>
      <c r="E591">
        <v>35</v>
      </c>
      <c r="F591" t="s">
        <v>34</v>
      </c>
      <c r="G591">
        <v>1258.53</v>
      </c>
      <c r="H591">
        <v>1624.8899999999999</v>
      </c>
      <c r="I591" t="s">
        <v>29</v>
      </c>
      <c r="J591">
        <v>0.08</v>
      </c>
      <c r="K591" t="s">
        <v>30</v>
      </c>
      <c r="L591" t="s">
        <v>18</v>
      </c>
      <c r="M591" t="s">
        <v>42</v>
      </c>
      <c r="N591">
        <f>sales_data_1[[#This Row],[Unit_Price]]-sales_data_1[[#This Row],[Unit_Cost]]</f>
        <v>366.3599999999999</v>
      </c>
      <c r="O591">
        <f>sales_data_1[[#This Row],[Unit_Price]]*sales_data_1[[#This Row],[Quantity_Sold]]</f>
        <v>56871.149999999994</v>
      </c>
      <c r="P591">
        <f>sales_data_1[[#This Row],[Unit - cost]]*sales_data_1[[#This Row],[Quantity_Sold]]</f>
        <v>12822.599999999997</v>
      </c>
    </row>
    <row r="592" spans="1:16" x14ac:dyDescent="0.3">
      <c r="A592">
        <v>1064</v>
      </c>
      <c r="B592" s="1">
        <v>45103</v>
      </c>
      <c r="C592" t="s">
        <v>41</v>
      </c>
      <c r="D592" t="s">
        <v>14</v>
      </c>
      <c r="E592">
        <v>21</v>
      </c>
      <c r="F592" t="s">
        <v>28</v>
      </c>
      <c r="G592">
        <v>2278.04</v>
      </c>
      <c r="H592">
        <v>2598.58</v>
      </c>
      <c r="I592" t="s">
        <v>16</v>
      </c>
      <c r="J592">
        <v>0.02</v>
      </c>
      <c r="K592" t="s">
        <v>30</v>
      </c>
      <c r="L592" t="s">
        <v>21</v>
      </c>
      <c r="M592" t="s">
        <v>48</v>
      </c>
      <c r="N592">
        <f>sales_data_1[[#This Row],[Unit_Price]]-sales_data_1[[#This Row],[Unit_Cost]]</f>
        <v>320.53999999999996</v>
      </c>
      <c r="O592">
        <f>sales_data_1[[#This Row],[Unit_Price]]*sales_data_1[[#This Row],[Quantity_Sold]]</f>
        <v>54570.18</v>
      </c>
      <c r="P592">
        <f>sales_data_1[[#This Row],[Unit - cost]]*sales_data_1[[#This Row],[Quantity_Sold]]</f>
        <v>6731.3399999999992</v>
      </c>
    </row>
    <row r="593" spans="1:16" x14ac:dyDescent="0.3">
      <c r="A593">
        <v>1099</v>
      </c>
      <c r="B593" s="1">
        <v>44929</v>
      </c>
      <c r="C593" t="s">
        <v>13</v>
      </c>
      <c r="D593" t="s">
        <v>33</v>
      </c>
      <c r="E593">
        <v>31</v>
      </c>
      <c r="F593" t="s">
        <v>15</v>
      </c>
      <c r="G593">
        <v>4632.8500000000004</v>
      </c>
      <c r="H593">
        <v>4711.7000000000007</v>
      </c>
      <c r="I593" t="s">
        <v>29</v>
      </c>
      <c r="J593">
        <v>0.21</v>
      </c>
      <c r="K593" t="s">
        <v>17</v>
      </c>
      <c r="L593" t="s">
        <v>21</v>
      </c>
      <c r="M593" t="s">
        <v>45</v>
      </c>
      <c r="N593">
        <f>sales_data_1[[#This Row],[Unit_Price]]-sales_data_1[[#This Row],[Unit_Cost]]</f>
        <v>78.850000000000364</v>
      </c>
      <c r="O593">
        <f>sales_data_1[[#This Row],[Unit_Price]]*sales_data_1[[#This Row],[Quantity_Sold]]</f>
        <v>146062.70000000001</v>
      </c>
      <c r="P593">
        <f>sales_data_1[[#This Row],[Unit - cost]]*sales_data_1[[#This Row],[Quantity_Sold]]</f>
        <v>2444.3500000000113</v>
      </c>
    </row>
    <row r="594" spans="1:16" x14ac:dyDescent="0.3">
      <c r="A594">
        <v>1049</v>
      </c>
      <c r="B594" s="1">
        <v>45068</v>
      </c>
      <c r="C594" t="s">
        <v>13</v>
      </c>
      <c r="D594" t="s">
        <v>33</v>
      </c>
      <c r="E594">
        <v>19</v>
      </c>
      <c r="F594" t="s">
        <v>28</v>
      </c>
      <c r="G594">
        <v>3316.97</v>
      </c>
      <c r="H594">
        <v>3544.02</v>
      </c>
      <c r="I594" t="s">
        <v>16</v>
      </c>
      <c r="J594">
        <v>0.14000000000000001</v>
      </c>
      <c r="K594" t="s">
        <v>17</v>
      </c>
      <c r="L594" t="s">
        <v>18</v>
      </c>
      <c r="M594" t="s">
        <v>45</v>
      </c>
      <c r="N594">
        <f>sales_data_1[[#This Row],[Unit_Price]]-sales_data_1[[#This Row],[Unit_Cost]]</f>
        <v>227.05000000000018</v>
      </c>
      <c r="O594">
        <f>sales_data_1[[#This Row],[Unit_Price]]*sales_data_1[[#This Row],[Quantity_Sold]]</f>
        <v>67336.38</v>
      </c>
      <c r="P594">
        <f>sales_data_1[[#This Row],[Unit - cost]]*sales_data_1[[#This Row],[Quantity_Sold]]</f>
        <v>4313.9500000000035</v>
      </c>
    </row>
    <row r="595" spans="1:16" x14ac:dyDescent="0.3">
      <c r="A595">
        <v>1099</v>
      </c>
      <c r="B595" s="1">
        <v>45084</v>
      </c>
      <c r="C595" t="s">
        <v>32</v>
      </c>
      <c r="D595" t="s">
        <v>33</v>
      </c>
      <c r="E595">
        <v>31</v>
      </c>
      <c r="F595" t="s">
        <v>25</v>
      </c>
      <c r="G595">
        <v>1974.4</v>
      </c>
      <c r="H595">
        <v>2259.5</v>
      </c>
      <c r="I595" t="s">
        <v>29</v>
      </c>
      <c r="J595">
        <v>0.27</v>
      </c>
      <c r="K595" t="s">
        <v>17</v>
      </c>
      <c r="L595" t="s">
        <v>21</v>
      </c>
      <c r="M595" t="s">
        <v>35</v>
      </c>
      <c r="N595">
        <f>sales_data_1[[#This Row],[Unit_Price]]-sales_data_1[[#This Row],[Unit_Cost]]</f>
        <v>285.09999999999991</v>
      </c>
      <c r="O595">
        <f>sales_data_1[[#This Row],[Unit_Price]]*sales_data_1[[#This Row],[Quantity_Sold]]</f>
        <v>70044.5</v>
      </c>
      <c r="P595">
        <f>sales_data_1[[#This Row],[Unit - cost]]*sales_data_1[[#This Row],[Quantity_Sold]]</f>
        <v>8838.0999999999967</v>
      </c>
    </row>
    <row r="596" spans="1:16" x14ac:dyDescent="0.3">
      <c r="A596">
        <v>1036</v>
      </c>
      <c r="B596" s="1">
        <v>45250</v>
      </c>
      <c r="C596" t="s">
        <v>41</v>
      </c>
      <c r="D596" t="s">
        <v>33</v>
      </c>
      <c r="E596">
        <v>32</v>
      </c>
      <c r="F596" t="s">
        <v>28</v>
      </c>
      <c r="G596">
        <v>700.49</v>
      </c>
      <c r="H596">
        <v>1126.52</v>
      </c>
      <c r="I596" t="s">
        <v>29</v>
      </c>
      <c r="J596">
        <v>0.28999999999999998</v>
      </c>
      <c r="K596" t="s">
        <v>30</v>
      </c>
      <c r="L596" t="s">
        <v>21</v>
      </c>
      <c r="M596" t="s">
        <v>51</v>
      </c>
      <c r="N596">
        <f>sales_data_1[[#This Row],[Unit_Price]]-sales_data_1[[#This Row],[Unit_Cost]]</f>
        <v>426.03</v>
      </c>
      <c r="O596">
        <f>sales_data_1[[#This Row],[Unit_Price]]*sales_data_1[[#This Row],[Quantity_Sold]]</f>
        <v>36048.639999999999</v>
      </c>
      <c r="P596">
        <f>sales_data_1[[#This Row],[Unit - cost]]*sales_data_1[[#This Row],[Quantity_Sold]]</f>
        <v>13632.96</v>
      </c>
    </row>
    <row r="597" spans="1:16" x14ac:dyDescent="0.3">
      <c r="A597">
        <v>1082</v>
      </c>
      <c r="B597" s="1">
        <v>45072</v>
      </c>
      <c r="C597" t="s">
        <v>23</v>
      </c>
      <c r="D597" t="s">
        <v>24</v>
      </c>
      <c r="E597">
        <v>2</v>
      </c>
      <c r="F597" t="s">
        <v>15</v>
      </c>
      <c r="G597">
        <v>1349.3</v>
      </c>
      <c r="H597">
        <v>1576.69</v>
      </c>
      <c r="I597" t="s">
        <v>16</v>
      </c>
      <c r="J597">
        <v>0.12</v>
      </c>
      <c r="K597" t="s">
        <v>30</v>
      </c>
      <c r="L597" t="s">
        <v>18</v>
      </c>
      <c r="M597" t="s">
        <v>27</v>
      </c>
      <c r="N597">
        <f>sales_data_1[[#This Row],[Unit_Price]]-sales_data_1[[#This Row],[Unit_Cost]]</f>
        <v>227.3900000000001</v>
      </c>
      <c r="O597">
        <f>sales_data_1[[#This Row],[Unit_Price]]*sales_data_1[[#This Row],[Quantity_Sold]]</f>
        <v>3153.38</v>
      </c>
      <c r="P597">
        <f>sales_data_1[[#This Row],[Unit - cost]]*sales_data_1[[#This Row],[Quantity_Sold]]</f>
        <v>454.7800000000002</v>
      </c>
    </row>
    <row r="598" spans="1:16" x14ac:dyDescent="0.3">
      <c r="A598">
        <v>1096</v>
      </c>
      <c r="B598" s="1">
        <v>45219</v>
      </c>
      <c r="C598" t="s">
        <v>23</v>
      </c>
      <c r="D598" t="s">
        <v>24</v>
      </c>
      <c r="E598">
        <v>10</v>
      </c>
      <c r="F598" t="s">
        <v>28</v>
      </c>
      <c r="G598">
        <v>2927.02</v>
      </c>
      <c r="H598">
        <v>3387.21</v>
      </c>
      <c r="I598" t="s">
        <v>16</v>
      </c>
      <c r="J598">
        <v>0.12</v>
      </c>
      <c r="K598" t="s">
        <v>17</v>
      </c>
      <c r="L598" t="s">
        <v>21</v>
      </c>
      <c r="M598" t="s">
        <v>27</v>
      </c>
      <c r="N598">
        <f>sales_data_1[[#This Row],[Unit_Price]]-sales_data_1[[#This Row],[Unit_Cost]]</f>
        <v>460.19000000000005</v>
      </c>
      <c r="O598">
        <f>sales_data_1[[#This Row],[Unit_Price]]*sales_data_1[[#This Row],[Quantity_Sold]]</f>
        <v>33872.1</v>
      </c>
      <c r="P598">
        <f>sales_data_1[[#This Row],[Unit - cost]]*sales_data_1[[#This Row],[Quantity_Sold]]</f>
        <v>4601.9000000000005</v>
      </c>
    </row>
    <row r="599" spans="1:16" x14ac:dyDescent="0.3">
      <c r="A599">
        <v>1024</v>
      </c>
      <c r="B599" s="1">
        <v>45079</v>
      </c>
      <c r="C599" t="s">
        <v>41</v>
      </c>
      <c r="D599" t="s">
        <v>20</v>
      </c>
      <c r="E599">
        <v>2</v>
      </c>
      <c r="F599" t="s">
        <v>15</v>
      </c>
      <c r="G599">
        <v>3604.93</v>
      </c>
      <c r="H599">
        <v>3830.71</v>
      </c>
      <c r="I599" t="s">
        <v>16</v>
      </c>
      <c r="J599">
        <v>0.12</v>
      </c>
      <c r="K599" t="s">
        <v>30</v>
      </c>
      <c r="L599" t="s">
        <v>18</v>
      </c>
      <c r="M599" t="s">
        <v>50</v>
      </c>
      <c r="N599">
        <f>sales_data_1[[#This Row],[Unit_Price]]-sales_data_1[[#This Row],[Unit_Cost]]</f>
        <v>225.7800000000002</v>
      </c>
      <c r="O599">
        <f>sales_data_1[[#This Row],[Unit_Price]]*sales_data_1[[#This Row],[Quantity_Sold]]</f>
        <v>7661.42</v>
      </c>
      <c r="P599">
        <f>sales_data_1[[#This Row],[Unit - cost]]*sales_data_1[[#This Row],[Quantity_Sold]]</f>
        <v>451.5600000000004</v>
      </c>
    </row>
    <row r="600" spans="1:16" x14ac:dyDescent="0.3">
      <c r="A600">
        <v>1023</v>
      </c>
      <c r="B600" s="1">
        <v>45119</v>
      </c>
      <c r="C600" t="s">
        <v>41</v>
      </c>
      <c r="D600" t="s">
        <v>14</v>
      </c>
      <c r="E600">
        <v>2</v>
      </c>
      <c r="F600" t="s">
        <v>25</v>
      </c>
      <c r="G600">
        <v>665.89</v>
      </c>
      <c r="H600">
        <v>944.79</v>
      </c>
      <c r="I600" t="s">
        <v>29</v>
      </c>
      <c r="J600">
        <v>0.1</v>
      </c>
      <c r="K600" t="s">
        <v>30</v>
      </c>
      <c r="L600" t="s">
        <v>21</v>
      </c>
      <c r="M600" t="s">
        <v>48</v>
      </c>
      <c r="N600">
        <f>sales_data_1[[#This Row],[Unit_Price]]-sales_data_1[[#This Row],[Unit_Cost]]</f>
        <v>278.89999999999998</v>
      </c>
      <c r="O600">
        <f>sales_data_1[[#This Row],[Unit_Price]]*sales_data_1[[#This Row],[Quantity_Sold]]</f>
        <v>1889.58</v>
      </c>
      <c r="P600">
        <f>sales_data_1[[#This Row],[Unit - cost]]*sales_data_1[[#This Row],[Quantity_Sold]]</f>
        <v>557.79999999999995</v>
      </c>
    </row>
    <row r="601" spans="1:16" x14ac:dyDescent="0.3">
      <c r="A601">
        <v>1062</v>
      </c>
      <c r="B601" s="1">
        <v>44999</v>
      </c>
      <c r="C601" t="s">
        <v>41</v>
      </c>
      <c r="D601" t="s">
        <v>33</v>
      </c>
      <c r="E601">
        <v>24</v>
      </c>
      <c r="F601" t="s">
        <v>25</v>
      </c>
      <c r="G601">
        <v>3018.01</v>
      </c>
      <c r="H601">
        <v>3418.19</v>
      </c>
      <c r="I601" t="s">
        <v>16</v>
      </c>
      <c r="J601">
        <v>0.23</v>
      </c>
      <c r="K601" t="s">
        <v>26</v>
      </c>
      <c r="L601" t="s">
        <v>21</v>
      </c>
      <c r="M601" t="s">
        <v>51</v>
      </c>
      <c r="N601">
        <f>sales_data_1[[#This Row],[Unit_Price]]-sales_data_1[[#This Row],[Unit_Cost]]</f>
        <v>400.17999999999984</v>
      </c>
      <c r="O601">
        <f>sales_data_1[[#This Row],[Unit_Price]]*sales_data_1[[#This Row],[Quantity_Sold]]</f>
        <v>82036.56</v>
      </c>
      <c r="P601">
        <f>sales_data_1[[#This Row],[Unit - cost]]*sales_data_1[[#This Row],[Quantity_Sold]]</f>
        <v>9604.3199999999961</v>
      </c>
    </row>
    <row r="602" spans="1:16" x14ac:dyDescent="0.3">
      <c r="A602">
        <v>1096</v>
      </c>
      <c r="B602" s="1">
        <v>45231</v>
      </c>
      <c r="C602" t="s">
        <v>13</v>
      </c>
      <c r="D602" t="s">
        <v>24</v>
      </c>
      <c r="E602">
        <v>17</v>
      </c>
      <c r="F602" t="s">
        <v>25</v>
      </c>
      <c r="G602">
        <v>2774.24</v>
      </c>
      <c r="H602">
        <v>3069.9399999999996</v>
      </c>
      <c r="I602" t="s">
        <v>16</v>
      </c>
      <c r="J602">
        <v>0.23</v>
      </c>
      <c r="K602" t="s">
        <v>26</v>
      </c>
      <c r="L602" t="s">
        <v>21</v>
      </c>
      <c r="M602" t="s">
        <v>31</v>
      </c>
      <c r="N602">
        <f>sales_data_1[[#This Row],[Unit_Price]]-sales_data_1[[#This Row],[Unit_Cost]]</f>
        <v>295.69999999999982</v>
      </c>
      <c r="O602">
        <f>sales_data_1[[#This Row],[Unit_Price]]*sales_data_1[[#This Row],[Quantity_Sold]]</f>
        <v>52188.979999999996</v>
      </c>
      <c r="P602">
        <f>sales_data_1[[#This Row],[Unit - cost]]*sales_data_1[[#This Row],[Quantity_Sold]]</f>
        <v>5026.8999999999969</v>
      </c>
    </row>
    <row r="603" spans="1:16" x14ac:dyDescent="0.3">
      <c r="A603">
        <v>1037</v>
      </c>
      <c r="B603" s="1">
        <v>45270</v>
      </c>
      <c r="C603" t="s">
        <v>13</v>
      </c>
      <c r="D603" t="s">
        <v>14</v>
      </c>
      <c r="E603">
        <v>32</v>
      </c>
      <c r="F603" t="s">
        <v>34</v>
      </c>
      <c r="G603">
        <v>2594.08</v>
      </c>
      <c r="H603">
        <v>3074.59</v>
      </c>
      <c r="I603" t="s">
        <v>29</v>
      </c>
      <c r="J603">
        <v>0.14000000000000001</v>
      </c>
      <c r="K603" t="s">
        <v>17</v>
      </c>
      <c r="L603" t="s">
        <v>21</v>
      </c>
      <c r="M603" t="s">
        <v>19</v>
      </c>
      <c r="N603">
        <f>sales_data_1[[#This Row],[Unit_Price]]-sales_data_1[[#This Row],[Unit_Cost]]</f>
        <v>480.51000000000022</v>
      </c>
      <c r="O603">
        <f>sales_data_1[[#This Row],[Unit_Price]]*sales_data_1[[#This Row],[Quantity_Sold]]</f>
        <v>98386.880000000005</v>
      </c>
      <c r="P603">
        <f>sales_data_1[[#This Row],[Unit - cost]]*sales_data_1[[#This Row],[Quantity_Sold]]</f>
        <v>15376.320000000007</v>
      </c>
    </row>
    <row r="604" spans="1:16" x14ac:dyDescent="0.3">
      <c r="A604">
        <v>1012</v>
      </c>
      <c r="B604" s="1">
        <v>45066</v>
      </c>
      <c r="C604" t="s">
        <v>13</v>
      </c>
      <c r="D604" t="s">
        <v>14</v>
      </c>
      <c r="E604">
        <v>16</v>
      </c>
      <c r="F604" t="s">
        <v>25</v>
      </c>
      <c r="G604">
        <v>3466.11</v>
      </c>
      <c r="H604">
        <v>3799.67</v>
      </c>
      <c r="I604" t="s">
        <v>16</v>
      </c>
      <c r="J604">
        <v>0.01</v>
      </c>
      <c r="K604" t="s">
        <v>17</v>
      </c>
      <c r="L604" t="s">
        <v>21</v>
      </c>
      <c r="M604" t="s">
        <v>19</v>
      </c>
      <c r="N604">
        <f>sales_data_1[[#This Row],[Unit_Price]]-sales_data_1[[#This Row],[Unit_Cost]]</f>
        <v>333.55999999999995</v>
      </c>
      <c r="O604">
        <f>sales_data_1[[#This Row],[Unit_Price]]*sales_data_1[[#This Row],[Quantity_Sold]]</f>
        <v>60794.720000000001</v>
      </c>
      <c r="P604">
        <f>sales_data_1[[#This Row],[Unit - cost]]*sales_data_1[[#This Row],[Quantity_Sold]]</f>
        <v>5336.9599999999991</v>
      </c>
    </row>
    <row r="605" spans="1:16" x14ac:dyDescent="0.3">
      <c r="A605">
        <v>1055</v>
      </c>
      <c r="B605" s="1">
        <v>45113</v>
      </c>
      <c r="C605" t="s">
        <v>37</v>
      </c>
      <c r="D605" t="s">
        <v>24</v>
      </c>
      <c r="E605">
        <v>16</v>
      </c>
      <c r="F605" t="s">
        <v>28</v>
      </c>
      <c r="G605">
        <v>4195.38</v>
      </c>
      <c r="H605">
        <v>4461.51</v>
      </c>
      <c r="I605" t="s">
        <v>16</v>
      </c>
      <c r="J605">
        <v>0.09</v>
      </c>
      <c r="K605" t="s">
        <v>26</v>
      </c>
      <c r="L605" t="s">
        <v>18</v>
      </c>
      <c r="M605" t="s">
        <v>38</v>
      </c>
      <c r="N605">
        <f>sales_data_1[[#This Row],[Unit_Price]]-sales_data_1[[#This Row],[Unit_Cost]]</f>
        <v>266.13000000000011</v>
      </c>
      <c r="O605">
        <f>sales_data_1[[#This Row],[Unit_Price]]*sales_data_1[[#This Row],[Quantity_Sold]]</f>
        <v>71384.160000000003</v>
      </c>
      <c r="P605">
        <f>sales_data_1[[#This Row],[Unit - cost]]*sales_data_1[[#This Row],[Quantity_Sold]]</f>
        <v>4258.0800000000017</v>
      </c>
    </row>
    <row r="606" spans="1:16" x14ac:dyDescent="0.3">
      <c r="A606">
        <v>1013</v>
      </c>
      <c r="B606" s="1">
        <v>45219</v>
      </c>
      <c r="C606" t="s">
        <v>23</v>
      </c>
      <c r="D606" t="s">
        <v>33</v>
      </c>
      <c r="E606">
        <v>46</v>
      </c>
      <c r="F606" t="s">
        <v>34</v>
      </c>
      <c r="G606">
        <v>1648.8</v>
      </c>
      <c r="H606">
        <v>1670.36</v>
      </c>
      <c r="I606" t="s">
        <v>16</v>
      </c>
      <c r="J606">
        <v>0.09</v>
      </c>
      <c r="K606" t="s">
        <v>30</v>
      </c>
      <c r="L606" t="s">
        <v>21</v>
      </c>
      <c r="M606" t="s">
        <v>49</v>
      </c>
      <c r="N606">
        <f>sales_data_1[[#This Row],[Unit_Price]]-sales_data_1[[#This Row],[Unit_Cost]]</f>
        <v>21.559999999999945</v>
      </c>
      <c r="O606">
        <f>sales_data_1[[#This Row],[Unit_Price]]*sales_data_1[[#This Row],[Quantity_Sold]]</f>
        <v>76836.56</v>
      </c>
      <c r="P606">
        <f>sales_data_1[[#This Row],[Unit - cost]]*sales_data_1[[#This Row],[Quantity_Sold]]</f>
        <v>991.75999999999749</v>
      </c>
    </row>
    <row r="607" spans="1:16" x14ac:dyDescent="0.3">
      <c r="A607">
        <v>1023</v>
      </c>
      <c r="B607" s="1">
        <v>44987</v>
      </c>
      <c r="C607" t="s">
        <v>23</v>
      </c>
      <c r="D607" t="s">
        <v>20</v>
      </c>
      <c r="E607">
        <v>39</v>
      </c>
      <c r="F607" t="s">
        <v>25</v>
      </c>
      <c r="G607">
        <v>4450.6099999999997</v>
      </c>
      <c r="H607">
        <v>4663.3399999999992</v>
      </c>
      <c r="I607" t="s">
        <v>29</v>
      </c>
      <c r="J607">
        <v>0.24</v>
      </c>
      <c r="K607" t="s">
        <v>17</v>
      </c>
      <c r="L607" t="s">
        <v>21</v>
      </c>
      <c r="M607" t="s">
        <v>46</v>
      </c>
      <c r="N607">
        <f>sales_data_1[[#This Row],[Unit_Price]]-sales_data_1[[#This Row],[Unit_Cost]]</f>
        <v>212.72999999999956</v>
      </c>
      <c r="O607">
        <f>sales_data_1[[#This Row],[Unit_Price]]*sales_data_1[[#This Row],[Quantity_Sold]]</f>
        <v>181870.25999999998</v>
      </c>
      <c r="P607">
        <f>sales_data_1[[#This Row],[Unit - cost]]*sales_data_1[[#This Row],[Quantity_Sold]]</f>
        <v>8296.469999999983</v>
      </c>
    </row>
    <row r="608" spans="1:16" x14ac:dyDescent="0.3">
      <c r="A608">
        <v>1089</v>
      </c>
      <c r="B608" s="1">
        <v>45124</v>
      </c>
      <c r="C608" t="s">
        <v>32</v>
      </c>
      <c r="D608" t="s">
        <v>14</v>
      </c>
      <c r="E608">
        <v>31</v>
      </c>
      <c r="F608" t="s">
        <v>28</v>
      </c>
      <c r="G608">
        <v>845.14</v>
      </c>
      <c r="H608">
        <v>1001.77</v>
      </c>
      <c r="I608" t="s">
        <v>29</v>
      </c>
      <c r="J608">
        <v>0.03</v>
      </c>
      <c r="K608" t="s">
        <v>17</v>
      </c>
      <c r="L608" t="s">
        <v>18</v>
      </c>
      <c r="M608" t="s">
        <v>52</v>
      </c>
      <c r="N608">
        <f>sales_data_1[[#This Row],[Unit_Price]]-sales_data_1[[#This Row],[Unit_Cost]]</f>
        <v>156.63</v>
      </c>
      <c r="O608">
        <f>sales_data_1[[#This Row],[Unit_Price]]*sales_data_1[[#This Row],[Quantity_Sold]]</f>
        <v>31054.87</v>
      </c>
      <c r="P608">
        <f>sales_data_1[[#This Row],[Unit - cost]]*sales_data_1[[#This Row],[Quantity_Sold]]</f>
        <v>4855.53</v>
      </c>
    </row>
    <row r="609" spans="1:16" x14ac:dyDescent="0.3">
      <c r="A609">
        <v>1099</v>
      </c>
      <c r="B609" s="1">
        <v>45221</v>
      </c>
      <c r="C609" t="s">
        <v>13</v>
      </c>
      <c r="D609" t="s">
        <v>20</v>
      </c>
      <c r="E609">
        <v>43</v>
      </c>
      <c r="F609" t="s">
        <v>28</v>
      </c>
      <c r="G609">
        <v>906.47</v>
      </c>
      <c r="H609">
        <v>1283.04</v>
      </c>
      <c r="I609" t="s">
        <v>29</v>
      </c>
      <c r="J609">
        <v>0.24</v>
      </c>
      <c r="K609" t="s">
        <v>17</v>
      </c>
      <c r="L609" t="s">
        <v>18</v>
      </c>
      <c r="M609" t="s">
        <v>22</v>
      </c>
      <c r="N609">
        <f>sales_data_1[[#This Row],[Unit_Price]]-sales_data_1[[#This Row],[Unit_Cost]]</f>
        <v>376.56999999999994</v>
      </c>
      <c r="O609">
        <f>sales_data_1[[#This Row],[Unit_Price]]*sales_data_1[[#This Row],[Quantity_Sold]]</f>
        <v>55170.720000000001</v>
      </c>
      <c r="P609">
        <f>sales_data_1[[#This Row],[Unit - cost]]*sales_data_1[[#This Row],[Quantity_Sold]]</f>
        <v>16192.509999999997</v>
      </c>
    </row>
    <row r="610" spans="1:16" x14ac:dyDescent="0.3">
      <c r="A610">
        <v>1030</v>
      </c>
      <c r="B610" s="1">
        <v>45245</v>
      </c>
      <c r="C610" t="s">
        <v>37</v>
      </c>
      <c r="D610" t="s">
        <v>33</v>
      </c>
      <c r="E610">
        <v>24</v>
      </c>
      <c r="F610" t="s">
        <v>28</v>
      </c>
      <c r="G610">
        <v>1370.52</v>
      </c>
      <c r="H610">
        <v>1482.58</v>
      </c>
      <c r="I610" t="s">
        <v>16</v>
      </c>
      <c r="J610">
        <v>0.2</v>
      </c>
      <c r="K610" t="s">
        <v>30</v>
      </c>
      <c r="L610" t="s">
        <v>21</v>
      </c>
      <c r="M610" t="s">
        <v>47</v>
      </c>
      <c r="N610">
        <f>sales_data_1[[#This Row],[Unit_Price]]-sales_data_1[[#This Row],[Unit_Cost]]</f>
        <v>112.05999999999995</v>
      </c>
      <c r="O610">
        <f>sales_data_1[[#This Row],[Unit_Price]]*sales_data_1[[#This Row],[Quantity_Sold]]</f>
        <v>35581.919999999998</v>
      </c>
      <c r="P610">
        <f>sales_data_1[[#This Row],[Unit - cost]]*sales_data_1[[#This Row],[Quantity_Sold]]</f>
        <v>2689.4399999999987</v>
      </c>
    </row>
    <row r="611" spans="1:16" x14ac:dyDescent="0.3">
      <c r="A611">
        <v>1017</v>
      </c>
      <c r="B611" s="1">
        <v>45228</v>
      </c>
      <c r="C611" t="s">
        <v>37</v>
      </c>
      <c r="D611" t="s">
        <v>33</v>
      </c>
      <c r="E611">
        <v>1</v>
      </c>
      <c r="F611" t="s">
        <v>15</v>
      </c>
      <c r="G611">
        <v>641.67999999999995</v>
      </c>
      <c r="H611">
        <v>752.24</v>
      </c>
      <c r="I611" t="s">
        <v>29</v>
      </c>
      <c r="J611">
        <v>0.22</v>
      </c>
      <c r="K611" t="s">
        <v>26</v>
      </c>
      <c r="L611" t="s">
        <v>18</v>
      </c>
      <c r="M611" t="s">
        <v>47</v>
      </c>
      <c r="N611">
        <f>sales_data_1[[#This Row],[Unit_Price]]-sales_data_1[[#This Row],[Unit_Cost]]</f>
        <v>110.56000000000006</v>
      </c>
      <c r="O611">
        <f>sales_data_1[[#This Row],[Unit_Price]]*sales_data_1[[#This Row],[Quantity_Sold]]</f>
        <v>752.24</v>
      </c>
      <c r="P611">
        <f>sales_data_1[[#This Row],[Unit - cost]]*sales_data_1[[#This Row],[Quantity_Sold]]</f>
        <v>110.56000000000006</v>
      </c>
    </row>
    <row r="612" spans="1:16" x14ac:dyDescent="0.3">
      <c r="A612">
        <v>1062</v>
      </c>
      <c r="B612" s="1">
        <v>45270</v>
      </c>
      <c r="C612" t="s">
        <v>23</v>
      </c>
      <c r="D612" t="s">
        <v>20</v>
      </c>
      <c r="E612">
        <v>11</v>
      </c>
      <c r="F612" t="s">
        <v>34</v>
      </c>
      <c r="G612">
        <v>1190.08</v>
      </c>
      <c r="H612">
        <v>1292.9399999999998</v>
      </c>
      <c r="I612" t="s">
        <v>16</v>
      </c>
      <c r="J612">
        <v>0.13</v>
      </c>
      <c r="K612" t="s">
        <v>17</v>
      </c>
      <c r="L612" t="s">
        <v>21</v>
      </c>
      <c r="M612" t="s">
        <v>46</v>
      </c>
      <c r="N612">
        <f>sales_data_1[[#This Row],[Unit_Price]]-sales_data_1[[#This Row],[Unit_Cost]]</f>
        <v>102.8599999999999</v>
      </c>
      <c r="O612">
        <f>sales_data_1[[#This Row],[Unit_Price]]*sales_data_1[[#This Row],[Quantity_Sold]]</f>
        <v>14222.339999999998</v>
      </c>
      <c r="P612">
        <f>sales_data_1[[#This Row],[Unit - cost]]*sales_data_1[[#This Row],[Quantity_Sold]]</f>
        <v>1131.4599999999989</v>
      </c>
    </row>
    <row r="613" spans="1:16" x14ac:dyDescent="0.3">
      <c r="A613">
        <v>1084</v>
      </c>
      <c r="B613" s="1">
        <v>44937</v>
      </c>
      <c r="C613" t="s">
        <v>13</v>
      </c>
      <c r="D613" t="s">
        <v>33</v>
      </c>
      <c r="E613">
        <v>21</v>
      </c>
      <c r="F613" t="s">
        <v>28</v>
      </c>
      <c r="G613">
        <v>576.74</v>
      </c>
      <c r="H613">
        <v>648.29</v>
      </c>
      <c r="I613" t="s">
        <v>16</v>
      </c>
      <c r="J613">
        <v>0.2</v>
      </c>
      <c r="K613" t="s">
        <v>26</v>
      </c>
      <c r="L613" t="s">
        <v>18</v>
      </c>
      <c r="M613" t="s">
        <v>45</v>
      </c>
      <c r="N613">
        <f>sales_data_1[[#This Row],[Unit_Price]]-sales_data_1[[#This Row],[Unit_Cost]]</f>
        <v>71.549999999999955</v>
      </c>
      <c r="O613">
        <f>sales_data_1[[#This Row],[Unit_Price]]*sales_data_1[[#This Row],[Quantity_Sold]]</f>
        <v>13614.09</v>
      </c>
      <c r="P613">
        <f>sales_data_1[[#This Row],[Unit - cost]]*sales_data_1[[#This Row],[Quantity_Sold]]</f>
        <v>1502.549999999999</v>
      </c>
    </row>
    <row r="614" spans="1:16" x14ac:dyDescent="0.3">
      <c r="A614">
        <v>1089</v>
      </c>
      <c r="B614" s="1">
        <v>44988</v>
      </c>
      <c r="C614" t="s">
        <v>32</v>
      </c>
      <c r="D614" t="s">
        <v>14</v>
      </c>
      <c r="E614">
        <v>4</v>
      </c>
      <c r="F614" t="s">
        <v>15</v>
      </c>
      <c r="G614">
        <v>4117.67</v>
      </c>
      <c r="H614">
        <v>4280.0600000000004</v>
      </c>
      <c r="I614" t="s">
        <v>16</v>
      </c>
      <c r="J614">
        <v>0.18</v>
      </c>
      <c r="K614" t="s">
        <v>26</v>
      </c>
      <c r="L614" t="s">
        <v>18</v>
      </c>
      <c r="M614" t="s">
        <v>52</v>
      </c>
      <c r="N614">
        <f>sales_data_1[[#This Row],[Unit_Price]]-sales_data_1[[#This Row],[Unit_Cost]]</f>
        <v>162.39000000000033</v>
      </c>
      <c r="O614">
        <f>sales_data_1[[#This Row],[Unit_Price]]*sales_data_1[[#This Row],[Quantity_Sold]]</f>
        <v>17120.240000000002</v>
      </c>
      <c r="P614">
        <f>sales_data_1[[#This Row],[Unit - cost]]*sales_data_1[[#This Row],[Quantity_Sold]]</f>
        <v>649.56000000000131</v>
      </c>
    </row>
    <row r="615" spans="1:16" x14ac:dyDescent="0.3">
      <c r="A615">
        <v>1086</v>
      </c>
      <c r="B615" s="1">
        <v>45259</v>
      </c>
      <c r="C615" t="s">
        <v>13</v>
      </c>
      <c r="D615" t="s">
        <v>20</v>
      </c>
      <c r="E615">
        <v>7</v>
      </c>
      <c r="F615" t="s">
        <v>25</v>
      </c>
      <c r="G615">
        <v>737.9</v>
      </c>
      <c r="H615">
        <v>1182</v>
      </c>
      <c r="I615" t="s">
        <v>29</v>
      </c>
      <c r="J615">
        <v>0.23</v>
      </c>
      <c r="K615" t="s">
        <v>30</v>
      </c>
      <c r="L615" t="s">
        <v>21</v>
      </c>
      <c r="M615" t="s">
        <v>22</v>
      </c>
      <c r="N615">
        <f>sales_data_1[[#This Row],[Unit_Price]]-sales_data_1[[#This Row],[Unit_Cost]]</f>
        <v>444.1</v>
      </c>
      <c r="O615">
        <f>sales_data_1[[#This Row],[Unit_Price]]*sales_data_1[[#This Row],[Quantity_Sold]]</f>
        <v>8274</v>
      </c>
      <c r="P615">
        <f>sales_data_1[[#This Row],[Unit - cost]]*sales_data_1[[#This Row],[Quantity_Sold]]</f>
        <v>3108.7000000000003</v>
      </c>
    </row>
    <row r="616" spans="1:16" x14ac:dyDescent="0.3">
      <c r="A616">
        <v>1013</v>
      </c>
      <c r="B616" s="1">
        <v>45152</v>
      </c>
      <c r="C616" t="s">
        <v>41</v>
      </c>
      <c r="D616" t="s">
        <v>33</v>
      </c>
      <c r="E616">
        <v>26</v>
      </c>
      <c r="F616" t="s">
        <v>28</v>
      </c>
      <c r="G616">
        <v>3749.12</v>
      </c>
      <c r="H616">
        <v>4138.83</v>
      </c>
      <c r="I616" t="s">
        <v>29</v>
      </c>
      <c r="J616">
        <v>0.13</v>
      </c>
      <c r="K616" t="s">
        <v>30</v>
      </c>
      <c r="L616" t="s">
        <v>18</v>
      </c>
      <c r="M616" t="s">
        <v>51</v>
      </c>
      <c r="N616">
        <f>sales_data_1[[#This Row],[Unit_Price]]-sales_data_1[[#This Row],[Unit_Cost]]</f>
        <v>389.71000000000004</v>
      </c>
      <c r="O616">
        <f>sales_data_1[[#This Row],[Unit_Price]]*sales_data_1[[#This Row],[Quantity_Sold]]</f>
        <v>107609.58</v>
      </c>
      <c r="P616">
        <f>sales_data_1[[#This Row],[Unit - cost]]*sales_data_1[[#This Row],[Quantity_Sold]]</f>
        <v>10132.460000000001</v>
      </c>
    </row>
    <row r="617" spans="1:16" x14ac:dyDescent="0.3">
      <c r="A617">
        <v>1059</v>
      </c>
      <c r="B617" s="1">
        <v>45079</v>
      </c>
      <c r="C617" t="s">
        <v>13</v>
      </c>
      <c r="D617" t="s">
        <v>20</v>
      </c>
      <c r="E617">
        <v>47</v>
      </c>
      <c r="F617" t="s">
        <v>15</v>
      </c>
      <c r="G617">
        <v>287.17</v>
      </c>
      <c r="H617">
        <v>657.44</v>
      </c>
      <c r="I617" t="s">
        <v>16</v>
      </c>
      <c r="J617">
        <v>0.14000000000000001</v>
      </c>
      <c r="K617" t="s">
        <v>30</v>
      </c>
      <c r="L617" t="s">
        <v>21</v>
      </c>
      <c r="M617" t="s">
        <v>22</v>
      </c>
      <c r="N617">
        <f>sales_data_1[[#This Row],[Unit_Price]]-sales_data_1[[#This Row],[Unit_Cost]]</f>
        <v>370.27000000000004</v>
      </c>
      <c r="O617">
        <f>sales_data_1[[#This Row],[Unit_Price]]*sales_data_1[[#This Row],[Quantity_Sold]]</f>
        <v>30899.680000000004</v>
      </c>
      <c r="P617">
        <f>sales_data_1[[#This Row],[Unit - cost]]*sales_data_1[[#This Row],[Quantity_Sold]]</f>
        <v>17402.690000000002</v>
      </c>
    </row>
    <row r="618" spans="1:16" x14ac:dyDescent="0.3">
      <c r="A618">
        <v>1019</v>
      </c>
      <c r="B618" s="1">
        <v>45125</v>
      </c>
      <c r="C618" t="s">
        <v>41</v>
      </c>
      <c r="D618" t="s">
        <v>14</v>
      </c>
      <c r="E618">
        <v>12</v>
      </c>
      <c r="F618" t="s">
        <v>28</v>
      </c>
      <c r="G618">
        <v>4745.18</v>
      </c>
      <c r="H618">
        <v>5145.88</v>
      </c>
      <c r="I618" t="s">
        <v>16</v>
      </c>
      <c r="J618">
        <v>0.19</v>
      </c>
      <c r="K618" t="s">
        <v>30</v>
      </c>
      <c r="L618" t="s">
        <v>18</v>
      </c>
      <c r="M618" t="s">
        <v>48</v>
      </c>
      <c r="N618">
        <f>sales_data_1[[#This Row],[Unit_Price]]-sales_data_1[[#This Row],[Unit_Cost]]</f>
        <v>400.69999999999982</v>
      </c>
      <c r="O618">
        <f>sales_data_1[[#This Row],[Unit_Price]]*sales_data_1[[#This Row],[Quantity_Sold]]</f>
        <v>61750.559999999998</v>
      </c>
      <c r="P618">
        <f>sales_data_1[[#This Row],[Unit - cost]]*sales_data_1[[#This Row],[Quantity_Sold]]</f>
        <v>4808.3999999999978</v>
      </c>
    </row>
    <row r="619" spans="1:16" x14ac:dyDescent="0.3">
      <c r="A619">
        <v>1049</v>
      </c>
      <c r="B619" s="1">
        <v>44978</v>
      </c>
      <c r="C619" t="s">
        <v>41</v>
      </c>
      <c r="D619" t="s">
        <v>33</v>
      </c>
      <c r="E619">
        <v>31</v>
      </c>
      <c r="F619" t="s">
        <v>34</v>
      </c>
      <c r="G619">
        <v>3570.24</v>
      </c>
      <c r="H619">
        <v>3712.25</v>
      </c>
      <c r="I619" t="s">
        <v>29</v>
      </c>
      <c r="J619">
        <v>0.03</v>
      </c>
      <c r="K619" t="s">
        <v>30</v>
      </c>
      <c r="L619" t="s">
        <v>18</v>
      </c>
      <c r="M619" t="s">
        <v>51</v>
      </c>
      <c r="N619">
        <f>sales_data_1[[#This Row],[Unit_Price]]-sales_data_1[[#This Row],[Unit_Cost]]</f>
        <v>142.01000000000022</v>
      </c>
      <c r="O619">
        <f>sales_data_1[[#This Row],[Unit_Price]]*sales_data_1[[#This Row],[Quantity_Sold]]</f>
        <v>115079.75</v>
      </c>
      <c r="P619">
        <f>sales_data_1[[#This Row],[Unit - cost]]*sales_data_1[[#This Row],[Quantity_Sold]]</f>
        <v>4402.3100000000068</v>
      </c>
    </row>
    <row r="620" spans="1:16" x14ac:dyDescent="0.3">
      <c r="A620">
        <v>1100</v>
      </c>
      <c r="B620" s="1">
        <v>45186</v>
      </c>
      <c r="C620" t="s">
        <v>32</v>
      </c>
      <c r="D620" t="s">
        <v>14</v>
      </c>
      <c r="E620">
        <v>17</v>
      </c>
      <c r="F620" t="s">
        <v>34</v>
      </c>
      <c r="G620">
        <v>83.64</v>
      </c>
      <c r="H620">
        <v>528.49</v>
      </c>
      <c r="I620" t="s">
        <v>29</v>
      </c>
      <c r="J620">
        <v>0.13</v>
      </c>
      <c r="K620" t="s">
        <v>30</v>
      </c>
      <c r="L620" t="s">
        <v>18</v>
      </c>
      <c r="M620" t="s">
        <v>52</v>
      </c>
      <c r="N620">
        <f>sales_data_1[[#This Row],[Unit_Price]]-sales_data_1[[#This Row],[Unit_Cost]]</f>
        <v>444.85</v>
      </c>
      <c r="O620">
        <f>sales_data_1[[#This Row],[Unit_Price]]*sales_data_1[[#This Row],[Quantity_Sold]]</f>
        <v>8984.33</v>
      </c>
      <c r="P620">
        <f>sales_data_1[[#This Row],[Unit - cost]]*sales_data_1[[#This Row],[Quantity_Sold]]</f>
        <v>7562.4500000000007</v>
      </c>
    </row>
    <row r="621" spans="1:16" x14ac:dyDescent="0.3">
      <c r="A621">
        <v>1012</v>
      </c>
      <c r="B621" s="1">
        <v>44985</v>
      </c>
      <c r="C621" t="s">
        <v>23</v>
      </c>
      <c r="D621" t="s">
        <v>33</v>
      </c>
      <c r="E621">
        <v>33</v>
      </c>
      <c r="F621" t="s">
        <v>25</v>
      </c>
      <c r="G621">
        <v>3831.09</v>
      </c>
      <c r="H621">
        <v>3908.3700000000003</v>
      </c>
      <c r="I621" t="s">
        <v>29</v>
      </c>
      <c r="J621">
        <v>0.28999999999999998</v>
      </c>
      <c r="K621" t="s">
        <v>17</v>
      </c>
      <c r="L621" t="s">
        <v>21</v>
      </c>
      <c r="M621" t="s">
        <v>49</v>
      </c>
      <c r="N621">
        <f>sales_data_1[[#This Row],[Unit_Price]]-sales_data_1[[#This Row],[Unit_Cost]]</f>
        <v>77.2800000000002</v>
      </c>
      <c r="O621">
        <f>sales_data_1[[#This Row],[Unit_Price]]*sales_data_1[[#This Row],[Quantity_Sold]]</f>
        <v>128976.21</v>
      </c>
      <c r="P621">
        <f>sales_data_1[[#This Row],[Unit - cost]]*sales_data_1[[#This Row],[Quantity_Sold]]</f>
        <v>2550.2400000000066</v>
      </c>
    </row>
    <row r="622" spans="1:16" x14ac:dyDescent="0.3">
      <c r="A622">
        <v>1061</v>
      </c>
      <c r="B622" s="1">
        <v>44998</v>
      </c>
      <c r="C622" t="s">
        <v>13</v>
      </c>
      <c r="D622" t="s">
        <v>24</v>
      </c>
      <c r="E622">
        <v>11</v>
      </c>
      <c r="F622" t="s">
        <v>28</v>
      </c>
      <c r="G622">
        <v>2594.71</v>
      </c>
      <c r="H622">
        <v>2769.52</v>
      </c>
      <c r="I622" t="s">
        <v>16</v>
      </c>
      <c r="J622">
        <v>0.01</v>
      </c>
      <c r="K622" t="s">
        <v>26</v>
      </c>
      <c r="L622" t="s">
        <v>21</v>
      </c>
      <c r="M622" t="s">
        <v>31</v>
      </c>
      <c r="N622">
        <f>sales_data_1[[#This Row],[Unit_Price]]-sales_data_1[[#This Row],[Unit_Cost]]</f>
        <v>174.80999999999995</v>
      </c>
      <c r="O622">
        <f>sales_data_1[[#This Row],[Unit_Price]]*sales_data_1[[#This Row],[Quantity_Sold]]</f>
        <v>30464.720000000001</v>
      </c>
      <c r="P622">
        <f>sales_data_1[[#This Row],[Unit - cost]]*sales_data_1[[#This Row],[Quantity_Sold]]</f>
        <v>1922.9099999999994</v>
      </c>
    </row>
    <row r="623" spans="1:16" x14ac:dyDescent="0.3">
      <c r="A623">
        <v>1019</v>
      </c>
      <c r="B623" s="1">
        <v>45074</v>
      </c>
      <c r="C623" t="s">
        <v>41</v>
      </c>
      <c r="D623" t="s">
        <v>33</v>
      </c>
      <c r="E623">
        <v>28</v>
      </c>
      <c r="F623" t="s">
        <v>15</v>
      </c>
      <c r="G623">
        <v>3907.86</v>
      </c>
      <c r="H623">
        <v>4205.37</v>
      </c>
      <c r="I623" t="s">
        <v>29</v>
      </c>
      <c r="J623">
        <v>0.09</v>
      </c>
      <c r="K623" t="s">
        <v>30</v>
      </c>
      <c r="L623" t="s">
        <v>18</v>
      </c>
      <c r="M623" t="s">
        <v>51</v>
      </c>
      <c r="N623">
        <f>sales_data_1[[#This Row],[Unit_Price]]-sales_data_1[[#This Row],[Unit_Cost]]</f>
        <v>297.50999999999976</v>
      </c>
      <c r="O623">
        <f>sales_data_1[[#This Row],[Unit_Price]]*sales_data_1[[#This Row],[Quantity_Sold]]</f>
        <v>117750.36</v>
      </c>
      <c r="P623">
        <f>sales_data_1[[#This Row],[Unit - cost]]*sales_data_1[[#This Row],[Quantity_Sold]]</f>
        <v>8330.2799999999934</v>
      </c>
    </row>
    <row r="624" spans="1:16" x14ac:dyDescent="0.3">
      <c r="A624">
        <v>1076</v>
      </c>
      <c r="B624" s="1">
        <v>45275</v>
      </c>
      <c r="C624" t="s">
        <v>13</v>
      </c>
      <c r="D624" t="s">
        <v>20</v>
      </c>
      <c r="E624">
        <v>32</v>
      </c>
      <c r="F624" t="s">
        <v>25</v>
      </c>
      <c r="G624">
        <v>2636.36</v>
      </c>
      <c r="H624">
        <v>2696.78</v>
      </c>
      <c r="I624" t="s">
        <v>29</v>
      </c>
      <c r="J624">
        <v>0.09</v>
      </c>
      <c r="K624" t="s">
        <v>17</v>
      </c>
      <c r="L624" t="s">
        <v>21</v>
      </c>
      <c r="M624" t="s">
        <v>22</v>
      </c>
      <c r="N624">
        <f>sales_data_1[[#This Row],[Unit_Price]]-sales_data_1[[#This Row],[Unit_Cost]]</f>
        <v>60.420000000000073</v>
      </c>
      <c r="O624">
        <f>sales_data_1[[#This Row],[Unit_Price]]*sales_data_1[[#This Row],[Quantity_Sold]]</f>
        <v>86296.960000000006</v>
      </c>
      <c r="P624">
        <f>sales_data_1[[#This Row],[Unit - cost]]*sales_data_1[[#This Row],[Quantity_Sold]]</f>
        <v>1933.4400000000023</v>
      </c>
    </row>
    <row r="625" spans="1:16" x14ac:dyDescent="0.3">
      <c r="A625">
        <v>1009</v>
      </c>
      <c r="B625" s="1">
        <v>44989</v>
      </c>
      <c r="C625" t="s">
        <v>23</v>
      </c>
      <c r="D625" t="s">
        <v>33</v>
      </c>
      <c r="E625">
        <v>1</v>
      </c>
      <c r="F625" t="s">
        <v>28</v>
      </c>
      <c r="G625">
        <v>3223.07</v>
      </c>
      <c r="H625">
        <v>3590.83</v>
      </c>
      <c r="I625" t="s">
        <v>29</v>
      </c>
      <c r="J625">
        <v>0.19</v>
      </c>
      <c r="K625" t="s">
        <v>26</v>
      </c>
      <c r="L625" t="s">
        <v>21</v>
      </c>
      <c r="M625" t="s">
        <v>49</v>
      </c>
      <c r="N625">
        <f>sales_data_1[[#This Row],[Unit_Price]]-sales_data_1[[#This Row],[Unit_Cost]]</f>
        <v>367.75999999999976</v>
      </c>
      <c r="O625">
        <f>sales_data_1[[#This Row],[Unit_Price]]*sales_data_1[[#This Row],[Quantity_Sold]]</f>
        <v>3590.83</v>
      </c>
      <c r="P625">
        <f>sales_data_1[[#This Row],[Unit - cost]]*sales_data_1[[#This Row],[Quantity_Sold]]</f>
        <v>367.75999999999976</v>
      </c>
    </row>
    <row r="626" spans="1:16" x14ac:dyDescent="0.3">
      <c r="A626">
        <v>1071</v>
      </c>
      <c r="B626" s="1">
        <v>45236</v>
      </c>
      <c r="C626" t="s">
        <v>23</v>
      </c>
      <c r="D626" t="s">
        <v>14</v>
      </c>
      <c r="E626">
        <v>47</v>
      </c>
      <c r="F626" t="s">
        <v>25</v>
      </c>
      <c r="G626">
        <v>3942.34</v>
      </c>
      <c r="H626">
        <v>4142.09</v>
      </c>
      <c r="I626" t="s">
        <v>16</v>
      </c>
      <c r="J626">
        <v>0.03</v>
      </c>
      <c r="K626" t="s">
        <v>30</v>
      </c>
      <c r="L626" t="s">
        <v>21</v>
      </c>
      <c r="M626" t="s">
        <v>44</v>
      </c>
      <c r="N626">
        <f>sales_data_1[[#This Row],[Unit_Price]]-sales_data_1[[#This Row],[Unit_Cost]]</f>
        <v>199.75</v>
      </c>
      <c r="O626">
        <f>sales_data_1[[#This Row],[Unit_Price]]*sales_data_1[[#This Row],[Quantity_Sold]]</f>
        <v>194678.23</v>
      </c>
      <c r="P626">
        <f>sales_data_1[[#This Row],[Unit - cost]]*sales_data_1[[#This Row],[Quantity_Sold]]</f>
        <v>9388.25</v>
      </c>
    </row>
    <row r="627" spans="1:16" x14ac:dyDescent="0.3">
      <c r="A627">
        <v>1028</v>
      </c>
      <c r="B627" s="1">
        <v>45169</v>
      </c>
      <c r="C627" t="s">
        <v>37</v>
      </c>
      <c r="D627" t="s">
        <v>14</v>
      </c>
      <c r="E627">
        <v>28</v>
      </c>
      <c r="F627" t="s">
        <v>15</v>
      </c>
      <c r="G627">
        <v>2055.2800000000002</v>
      </c>
      <c r="H627">
        <v>2449.6400000000003</v>
      </c>
      <c r="I627" t="s">
        <v>29</v>
      </c>
      <c r="J627">
        <v>0.19</v>
      </c>
      <c r="K627" t="s">
        <v>30</v>
      </c>
      <c r="L627" t="s">
        <v>18</v>
      </c>
      <c r="M627" t="s">
        <v>39</v>
      </c>
      <c r="N627">
        <f>sales_data_1[[#This Row],[Unit_Price]]-sales_data_1[[#This Row],[Unit_Cost]]</f>
        <v>394.36000000000013</v>
      </c>
      <c r="O627">
        <f>sales_data_1[[#This Row],[Unit_Price]]*sales_data_1[[#This Row],[Quantity_Sold]]</f>
        <v>68589.920000000013</v>
      </c>
      <c r="P627">
        <f>sales_data_1[[#This Row],[Unit - cost]]*sales_data_1[[#This Row],[Quantity_Sold]]</f>
        <v>11042.080000000004</v>
      </c>
    </row>
    <row r="628" spans="1:16" x14ac:dyDescent="0.3">
      <c r="A628">
        <v>1095</v>
      </c>
      <c r="B628" s="1">
        <v>45256</v>
      </c>
      <c r="C628" t="s">
        <v>32</v>
      </c>
      <c r="D628" t="s">
        <v>20</v>
      </c>
      <c r="E628">
        <v>7</v>
      </c>
      <c r="F628" t="s">
        <v>25</v>
      </c>
      <c r="G628">
        <v>4257.24</v>
      </c>
      <c r="H628">
        <v>4355.87</v>
      </c>
      <c r="I628" t="s">
        <v>16</v>
      </c>
      <c r="J628">
        <v>0.03</v>
      </c>
      <c r="K628" t="s">
        <v>26</v>
      </c>
      <c r="L628" t="s">
        <v>18</v>
      </c>
      <c r="M628" t="s">
        <v>36</v>
      </c>
      <c r="N628">
        <f>sales_data_1[[#This Row],[Unit_Price]]-sales_data_1[[#This Row],[Unit_Cost]]</f>
        <v>98.630000000000109</v>
      </c>
      <c r="O628">
        <f>sales_data_1[[#This Row],[Unit_Price]]*sales_data_1[[#This Row],[Quantity_Sold]]</f>
        <v>30491.09</v>
      </c>
      <c r="P628">
        <f>sales_data_1[[#This Row],[Unit - cost]]*sales_data_1[[#This Row],[Quantity_Sold]]</f>
        <v>690.41000000000076</v>
      </c>
    </row>
    <row r="629" spans="1:16" x14ac:dyDescent="0.3">
      <c r="A629">
        <v>1052</v>
      </c>
      <c r="B629" s="1">
        <v>45033</v>
      </c>
      <c r="C629" t="s">
        <v>41</v>
      </c>
      <c r="D629" t="s">
        <v>24</v>
      </c>
      <c r="E629">
        <v>2</v>
      </c>
      <c r="F629" t="s">
        <v>25</v>
      </c>
      <c r="G629">
        <v>1935.41</v>
      </c>
      <c r="H629">
        <v>2305.44</v>
      </c>
      <c r="I629" t="s">
        <v>16</v>
      </c>
      <c r="J629">
        <v>0.22</v>
      </c>
      <c r="K629" t="s">
        <v>30</v>
      </c>
      <c r="L629" t="s">
        <v>18</v>
      </c>
      <c r="M629" t="s">
        <v>42</v>
      </c>
      <c r="N629">
        <f>sales_data_1[[#This Row],[Unit_Price]]-sales_data_1[[#This Row],[Unit_Cost]]</f>
        <v>370.03</v>
      </c>
      <c r="O629">
        <f>sales_data_1[[#This Row],[Unit_Price]]*sales_data_1[[#This Row],[Quantity_Sold]]</f>
        <v>4610.88</v>
      </c>
      <c r="P629">
        <f>sales_data_1[[#This Row],[Unit - cost]]*sales_data_1[[#This Row],[Quantity_Sold]]</f>
        <v>740.06</v>
      </c>
    </row>
    <row r="630" spans="1:16" x14ac:dyDescent="0.3">
      <c r="A630">
        <v>1083</v>
      </c>
      <c r="B630" s="1">
        <v>45152</v>
      </c>
      <c r="C630" t="s">
        <v>37</v>
      </c>
      <c r="D630" t="s">
        <v>20</v>
      </c>
      <c r="E630">
        <v>42</v>
      </c>
      <c r="F630" t="s">
        <v>28</v>
      </c>
      <c r="G630">
        <v>2505.41</v>
      </c>
      <c r="H630">
        <v>2638.96</v>
      </c>
      <c r="I630" t="s">
        <v>29</v>
      </c>
      <c r="J630">
        <v>0.1</v>
      </c>
      <c r="K630" t="s">
        <v>26</v>
      </c>
      <c r="L630" t="s">
        <v>18</v>
      </c>
      <c r="M630" t="s">
        <v>40</v>
      </c>
      <c r="N630">
        <f>sales_data_1[[#This Row],[Unit_Price]]-sales_data_1[[#This Row],[Unit_Cost]]</f>
        <v>133.55000000000018</v>
      </c>
      <c r="O630">
        <f>sales_data_1[[#This Row],[Unit_Price]]*sales_data_1[[#This Row],[Quantity_Sold]]</f>
        <v>110836.32</v>
      </c>
      <c r="P630">
        <f>sales_data_1[[#This Row],[Unit - cost]]*sales_data_1[[#This Row],[Quantity_Sold]]</f>
        <v>5609.1000000000076</v>
      </c>
    </row>
    <row r="631" spans="1:16" x14ac:dyDescent="0.3">
      <c r="A631">
        <v>1016</v>
      </c>
      <c r="B631" s="1">
        <v>45239</v>
      </c>
      <c r="C631" t="s">
        <v>32</v>
      </c>
      <c r="D631" t="s">
        <v>24</v>
      </c>
      <c r="E631">
        <v>24</v>
      </c>
      <c r="F631" t="s">
        <v>15</v>
      </c>
      <c r="G631">
        <v>88.44</v>
      </c>
      <c r="H631">
        <v>338.94</v>
      </c>
      <c r="I631" t="s">
        <v>29</v>
      </c>
      <c r="J631">
        <v>0.28999999999999998</v>
      </c>
      <c r="K631" t="s">
        <v>17</v>
      </c>
      <c r="L631" t="s">
        <v>18</v>
      </c>
      <c r="M631" t="s">
        <v>43</v>
      </c>
      <c r="N631">
        <f>sales_data_1[[#This Row],[Unit_Price]]-sales_data_1[[#This Row],[Unit_Cost]]</f>
        <v>250.5</v>
      </c>
      <c r="O631">
        <f>sales_data_1[[#This Row],[Unit_Price]]*sales_data_1[[#This Row],[Quantity_Sold]]</f>
        <v>8134.5599999999995</v>
      </c>
      <c r="P631">
        <f>sales_data_1[[#This Row],[Unit - cost]]*sales_data_1[[#This Row],[Quantity_Sold]]</f>
        <v>6012</v>
      </c>
    </row>
    <row r="632" spans="1:16" x14ac:dyDescent="0.3">
      <c r="A632">
        <v>1069</v>
      </c>
      <c r="B632" s="1">
        <v>45144</v>
      </c>
      <c r="C632" t="s">
        <v>13</v>
      </c>
      <c r="D632" t="s">
        <v>14</v>
      </c>
      <c r="E632">
        <v>4</v>
      </c>
      <c r="F632" t="s">
        <v>34</v>
      </c>
      <c r="G632">
        <v>2485.86</v>
      </c>
      <c r="H632">
        <v>2532.8700000000003</v>
      </c>
      <c r="I632" t="s">
        <v>29</v>
      </c>
      <c r="J632">
        <v>0.01</v>
      </c>
      <c r="K632" t="s">
        <v>30</v>
      </c>
      <c r="L632" t="s">
        <v>18</v>
      </c>
      <c r="M632" t="s">
        <v>19</v>
      </c>
      <c r="N632">
        <f>sales_data_1[[#This Row],[Unit_Price]]-sales_data_1[[#This Row],[Unit_Cost]]</f>
        <v>47.010000000000218</v>
      </c>
      <c r="O632">
        <f>sales_data_1[[#This Row],[Unit_Price]]*sales_data_1[[#This Row],[Quantity_Sold]]</f>
        <v>10131.480000000001</v>
      </c>
      <c r="P632">
        <f>sales_data_1[[#This Row],[Unit - cost]]*sales_data_1[[#This Row],[Quantity_Sold]]</f>
        <v>188.04000000000087</v>
      </c>
    </row>
    <row r="633" spans="1:16" x14ac:dyDescent="0.3">
      <c r="A633">
        <v>1099</v>
      </c>
      <c r="B633" s="1">
        <v>45167</v>
      </c>
      <c r="C633" t="s">
        <v>41</v>
      </c>
      <c r="D633" t="s">
        <v>20</v>
      </c>
      <c r="E633">
        <v>44</v>
      </c>
      <c r="F633" t="s">
        <v>28</v>
      </c>
      <c r="G633">
        <v>4933.1099999999997</v>
      </c>
      <c r="H633">
        <v>5245.86</v>
      </c>
      <c r="I633" t="s">
        <v>16</v>
      </c>
      <c r="J633">
        <v>0.13</v>
      </c>
      <c r="K633" t="s">
        <v>26</v>
      </c>
      <c r="L633" t="s">
        <v>21</v>
      </c>
      <c r="M633" t="s">
        <v>50</v>
      </c>
      <c r="N633">
        <f>sales_data_1[[#This Row],[Unit_Price]]-sales_data_1[[#This Row],[Unit_Cost]]</f>
        <v>312.75</v>
      </c>
      <c r="O633">
        <f>sales_data_1[[#This Row],[Unit_Price]]*sales_data_1[[#This Row],[Quantity_Sold]]</f>
        <v>230817.84</v>
      </c>
      <c r="P633">
        <f>sales_data_1[[#This Row],[Unit - cost]]*sales_data_1[[#This Row],[Quantity_Sold]]</f>
        <v>13761</v>
      </c>
    </row>
    <row r="634" spans="1:16" x14ac:dyDescent="0.3">
      <c r="A634">
        <v>1012</v>
      </c>
      <c r="B634" s="1">
        <v>45185</v>
      </c>
      <c r="C634" t="s">
        <v>23</v>
      </c>
      <c r="D634" t="s">
        <v>24</v>
      </c>
      <c r="E634">
        <v>19</v>
      </c>
      <c r="F634" t="s">
        <v>34</v>
      </c>
      <c r="G634">
        <v>1427.42</v>
      </c>
      <c r="H634">
        <v>1763.69</v>
      </c>
      <c r="I634" t="s">
        <v>29</v>
      </c>
      <c r="J634">
        <v>0.03</v>
      </c>
      <c r="K634" t="s">
        <v>17</v>
      </c>
      <c r="L634" t="s">
        <v>21</v>
      </c>
      <c r="M634" t="s">
        <v>27</v>
      </c>
      <c r="N634">
        <f>sales_data_1[[#This Row],[Unit_Price]]-sales_data_1[[#This Row],[Unit_Cost]]</f>
        <v>336.27</v>
      </c>
      <c r="O634">
        <f>sales_data_1[[#This Row],[Unit_Price]]*sales_data_1[[#This Row],[Quantity_Sold]]</f>
        <v>33510.11</v>
      </c>
      <c r="P634">
        <f>sales_data_1[[#This Row],[Unit - cost]]*sales_data_1[[#This Row],[Quantity_Sold]]</f>
        <v>6389.1299999999992</v>
      </c>
    </row>
    <row r="635" spans="1:16" x14ac:dyDescent="0.3">
      <c r="A635">
        <v>1025</v>
      </c>
      <c r="B635" s="1">
        <v>45188</v>
      </c>
      <c r="C635" t="s">
        <v>41</v>
      </c>
      <c r="D635" t="s">
        <v>33</v>
      </c>
      <c r="E635">
        <v>26</v>
      </c>
      <c r="F635" t="s">
        <v>34</v>
      </c>
      <c r="G635">
        <v>2007.32</v>
      </c>
      <c r="H635">
        <v>2202.87</v>
      </c>
      <c r="I635" t="s">
        <v>16</v>
      </c>
      <c r="J635">
        <v>0.11</v>
      </c>
      <c r="K635" t="s">
        <v>17</v>
      </c>
      <c r="L635" t="s">
        <v>18</v>
      </c>
      <c r="M635" t="s">
        <v>51</v>
      </c>
      <c r="N635">
        <f>sales_data_1[[#This Row],[Unit_Price]]-sales_data_1[[#This Row],[Unit_Cost]]</f>
        <v>195.54999999999995</v>
      </c>
      <c r="O635">
        <f>sales_data_1[[#This Row],[Unit_Price]]*sales_data_1[[#This Row],[Quantity_Sold]]</f>
        <v>57274.619999999995</v>
      </c>
      <c r="P635">
        <f>sales_data_1[[#This Row],[Unit - cost]]*sales_data_1[[#This Row],[Quantity_Sold]]</f>
        <v>5084.2999999999993</v>
      </c>
    </row>
    <row r="636" spans="1:16" x14ac:dyDescent="0.3">
      <c r="A636">
        <v>1052</v>
      </c>
      <c r="B636" s="1">
        <v>44931</v>
      </c>
      <c r="C636" t="s">
        <v>13</v>
      </c>
      <c r="D636" t="s">
        <v>14</v>
      </c>
      <c r="E636">
        <v>11</v>
      </c>
      <c r="F636" t="s">
        <v>28</v>
      </c>
      <c r="G636">
        <v>3451.59</v>
      </c>
      <c r="H636">
        <v>3929.26</v>
      </c>
      <c r="I636" t="s">
        <v>29</v>
      </c>
      <c r="J636">
        <v>0.3</v>
      </c>
      <c r="K636" t="s">
        <v>30</v>
      </c>
      <c r="L636" t="s">
        <v>21</v>
      </c>
      <c r="M636" t="s">
        <v>19</v>
      </c>
      <c r="N636">
        <f>sales_data_1[[#This Row],[Unit_Price]]-sales_data_1[[#This Row],[Unit_Cost]]</f>
        <v>477.67000000000007</v>
      </c>
      <c r="O636">
        <f>sales_data_1[[#This Row],[Unit_Price]]*sales_data_1[[#This Row],[Quantity_Sold]]</f>
        <v>43221.86</v>
      </c>
      <c r="P636">
        <f>sales_data_1[[#This Row],[Unit - cost]]*sales_data_1[[#This Row],[Quantity_Sold]]</f>
        <v>5254.3700000000008</v>
      </c>
    </row>
    <row r="637" spans="1:16" x14ac:dyDescent="0.3">
      <c r="A637">
        <v>1085</v>
      </c>
      <c r="B637" s="1">
        <v>45187</v>
      </c>
      <c r="C637" t="s">
        <v>37</v>
      </c>
      <c r="D637" t="s">
        <v>33</v>
      </c>
      <c r="E637">
        <v>40</v>
      </c>
      <c r="F637" t="s">
        <v>28</v>
      </c>
      <c r="G637">
        <v>4083.23</v>
      </c>
      <c r="H637">
        <v>4521.57</v>
      </c>
      <c r="I637" t="s">
        <v>29</v>
      </c>
      <c r="J637">
        <v>0.27</v>
      </c>
      <c r="K637" t="s">
        <v>26</v>
      </c>
      <c r="L637" t="s">
        <v>21</v>
      </c>
      <c r="M637" t="s">
        <v>47</v>
      </c>
      <c r="N637">
        <f>sales_data_1[[#This Row],[Unit_Price]]-sales_data_1[[#This Row],[Unit_Cost]]</f>
        <v>438.33999999999969</v>
      </c>
      <c r="O637">
        <f>sales_data_1[[#This Row],[Unit_Price]]*sales_data_1[[#This Row],[Quantity_Sold]]</f>
        <v>180862.8</v>
      </c>
      <c r="P637">
        <f>sales_data_1[[#This Row],[Unit - cost]]*sales_data_1[[#This Row],[Quantity_Sold]]</f>
        <v>17533.599999999988</v>
      </c>
    </row>
    <row r="638" spans="1:16" x14ac:dyDescent="0.3">
      <c r="A638">
        <v>1100</v>
      </c>
      <c r="B638" s="1">
        <v>44980</v>
      </c>
      <c r="C638" t="s">
        <v>37</v>
      </c>
      <c r="D638" t="s">
        <v>14</v>
      </c>
      <c r="E638">
        <v>43</v>
      </c>
      <c r="F638" t="s">
        <v>15</v>
      </c>
      <c r="G638">
        <v>2116.09</v>
      </c>
      <c r="H638">
        <v>2472.98</v>
      </c>
      <c r="I638" t="s">
        <v>29</v>
      </c>
      <c r="J638">
        <v>0.01</v>
      </c>
      <c r="K638" t="s">
        <v>30</v>
      </c>
      <c r="L638" t="s">
        <v>21</v>
      </c>
      <c r="M638" t="s">
        <v>39</v>
      </c>
      <c r="N638">
        <f>sales_data_1[[#This Row],[Unit_Price]]-sales_data_1[[#This Row],[Unit_Cost]]</f>
        <v>356.88999999999987</v>
      </c>
      <c r="O638">
        <f>sales_data_1[[#This Row],[Unit_Price]]*sales_data_1[[#This Row],[Quantity_Sold]]</f>
        <v>106338.14</v>
      </c>
      <c r="P638">
        <f>sales_data_1[[#This Row],[Unit - cost]]*sales_data_1[[#This Row],[Quantity_Sold]]</f>
        <v>15346.269999999995</v>
      </c>
    </row>
    <row r="639" spans="1:16" x14ac:dyDescent="0.3">
      <c r="A639">
        <v>1053</v>
      </c>
      <c r="B639" s="1">
        <v>44973</v>
      </c>
      <c r="C639" t="s">
        <v>37</v>
      </c>
      <c r="D639" t="s">
        <v>20</v>
      </c>
      <c r="E639">
        <v>11</v>
      </c>
      <c r="F639" t="s">
        <v>15</v>
      </c>
      <c r="G639">
        <v>1582.86</v>
      </c>
      <c r="H639">
        <v>1942.55</v>
      </c>
      <c r="I639" t="s">
        <v>29</v>
      </c>
      <c r="J639">
        <v>0.17</v>
      </c>
      <c r="K639" t="s">
        <v>30</v>
      </c>
      <c r="L639" t="s">
        <v>21</v>
      </c>
      <c r="M639" t="s">
        <v>40</v>
      </c>
      <c r="N639">
        <f>sales_data_1[[#This Row],[Unit_Price]]-sales_data_1[[#This Row],[Unit_Cost]]</f>
        <v>359.69000000000005</v>
      </c>
      <c r="O639">
        <f>sales_data_1[[#This Row],[Unit_Price]]*sales_data_1[[#This Row],[Quantity_Sold]]</f>
        <v>21368.05</v>
      </c>
      <c r="P639">
        <f>sales_data_1[[#This Row],[Unit - cost]]*sales_data_1[[#This Row],[Quantity_Sold]]</f>
        <v>3956.5900000000006</v>
      </c>
    </row>
    <row r="640" spans="1:16" x14ac:dyDescent="0.3">
      <c r="A640">
        <v>1023</v>
      </c>
      <c r="B640" s="1">
        <v>45141</v>
      </c>
      <c r="C640" t="s">
        <v>23</v>
      </c>
      <c r="D640" t="s">
        <v>20</v>
      </c>
      <c r="E640">
        <v>45</v>
      </c>
      <c r="F640" t="s">
        <v>25</v>
      </c>
      <c r="G640">
        <v>4692.24</v>
      </c>
      <c r="H640">
        <v>4825.92</v>
      </c>
      <c r="I640" t="s">
        <v>16</v>
      </c>
      <c r="J640">
        <v>0.19</v>
      </c>
      <c r="K640" t="s">
        <v>26</v>
      </c>
      <c r="L640" t="s">
        <v>21</v>
      </c>
      <c r="M640" t="s">
        <v>46</v>
      </c>
      <c r="N640">
        <f>sales_data_1[[#This Row],[Unit_Price]]-sales_data_1[[#This Row],[Unit_Cost]]</f>
        <v>133.68000000000029</v>
      </c>
      <c r="O640">
        <f>sales_data_1[[#This Row],[Unit_Price]]*sales_data_1[[#This Row],[Quantity_Sold]]</f>
        <v>217166.4</v>
      </c>
      <c r="P640">
        <f>sales_data_1[[#This Row],[Unit - cost]]*sales_data_1[[#This Row],[Quantity_Sold]]</f>
        <v>6015.6000000000131</v>
      </c>
    </row>
    <row r="641" spans="1:16" x14ac:dyDescent="0.3">
      <c r="A641">
        <v>1016</v>
      </c>
      <c r="B641" s="1">
        <v>45103</v>
      </c>
      <c r="C641" t="s">
        <v>32</v>
      </c>
      <c r="D641" t="s">
        <v>14</v>
      </c>
      <c r="E641">
        <v>3</v>
      </c>
      <c r="F641" t="s">
        <v>34</v>
      </c>
      <c r="G641">
        <v>3401.87</v>
      </c>
      <c r="H641">
        <v>3733.71</v>
      </c>
      <c r="I641" t="s">
        <v>16</v>
      </c>
      <c r="J641">
        <v>0.06</v>
      </c>
      <c r="K641" t="s">
        <v>26</v>
      </c>
      <c r="L641" t="s">
        <v>21</v>
      </c>
      <c r="M641" t="s">
        <v>52</v>
      </c>
      <c r="N641">
        <f>sales_data_1[[#This Row],[Unit_Price]]-sales_data_1[[#This Row],[Unit_Cost]]</f>
        <v>331.84000000000015</v>
      </c>
      <c r="O641">
        <f>sales_data_1[[#This Row],[Unit_Price]]*sales_data_1[[#This Row],[Quantity_Sold]]</f>
        <v>11201.130000000001</v>
      </c>
      <c r="P641">
        <f>sales_data_1[[#This Row],[Unit - cost]]*sales_data_1[[#This Row],[Quantity_Sold]]</f>
        <v>995.52000000000044</v>
      </c>
    </row>
    <row r="642" spans="1:16" x14ac:dyDescent="0.3">
      <c r="A642">
        <v>1057</v>
      </c>
      <c r="B642" s="1">
        <v>44935</v>
      </c>
      <c r="C642" t="s">
        <v>32</v>
      </c>
      <c r="D642" t="s">
        <v>14</v>
      </c>
      <c r="E642">
        <v>12</v>
      </c>
      <c r="F642" t="s">
        <v>15</v>
      </c>
      <c r="G642">
        <v>639.16</v>
      </c>
      <c r="H642">
        <v>746.28</v>
      </c>
      <c r="I642" t="s">
        <v>16</v>
      </c>
      <c r="J642">
        <v>0.04</v>
      </c>
      <c r="K642" t="s">
        <v>26</v>
      </c>
      <c r="L642" t="s">
        <v>21</v>
      </c>
      <c r="M642" t="s">
        <v>52</v>
      </c>
      <c r="N642">
        <f>sales_data_1[[#This Row],[Unit_Price]]-sales_data_1[[#This Row],[Unit_Cost]]</f>
        <v>107.12</v>
      </c>
      <c r="O642">
        <f>sales_data_1[[#This Row],[Unit_Price]]*sales_data_1[[#This Row],[Quantity_Sold]]</f>
        <v>8955.36</v>
      </c>
      <c r="P642">
        <f>sales_data_1[[#This Row],[Unit - cost]]*sales_data_1[[#This Row],[Quantity_Sold]]</f>
        <v>1285.44</v>
      </c>
    </row>
    <row r="643" spans="1:16" x14ac:dyDescent="0.3">
      <c r="A643">
        <v>1039</v>
      </c>
      <c r="B643" s="1">
        <v>45025</v>
      </c>
      <c r="C643" t="s">
        <v>41</v>
      </c>
      <c r="D643" t="s">
        <v>14</v>
      </c>
      <c r="E643">
        <v>3</v>
      </c>
      <c r="F643" t="s">
        <v>25</v>
      </c>
      <c r="G643">
        <v>391.19</v>
      </c>
      <c r="H643">
        <v>471.75</v>
      </c>
      <c r="I643" t="s">
        <v>16</v>
      </c>
      <c r="J643">
        <v>0.27</v>
      </c>
      <c r="K643" t="s">
        <v>17</v>
      </c>
      <c r="L643" t="s">
        <v>18</v>
      </c>
      <c r="M643" t="s">
        <v>48</v>
      </c>
      <c r="N643">
        <f>sales_data_1[[#This Row],[Unit_Price]]-sales_data_1[[#This Row],[Unit_Cost]]</f>
        <v>80.56</v>
      </c>
      <c r="O643">
        <f>sales_data_1[[#This Row],[Unit_Price]]*sales_data_1[[#This Row],[Quantity_Sold]]</f>
        <v>1415.25</v>
      </c>
      <c r="P643">
        <f>sales_data_1[[#This Row],[Unit - cost]]*sales_data_1[[#This Row],[Quantity_Sold]]</f>
        <v>241.68</v>
      </c>
    </row>
    <row r="644" spans="1:16" x14ac:dyDescent="0.3">
      <c r="A644">
        <v>1053</v>
      </c>
      <c r="B644" s="1">
        <v>44946</v>
      </c>
      <c r="C644" t="s">
        <v>23</v>
      </c>
      <c r="D644" t="s">
        <v>20</v>
      </c>
      <c r="E644">
        <v>42</v>
      </c>
      <c r="F644" t="s">
        <v>15</v>
      </c>
      <c r="G644">
        <v>2443.5700000000002</v>
      </c>
      <c r="H644">
        <v>2943.3100000000004</v>
      </c>
      <c r="I644" t="s">
        <v>29</v>
      </c>
      <c r="J644">
        <v>0.28999999999999998</v>
      </c>
      <c r="K644" t="s">
        <v>17</v>
      </c>
      <c r="L644" t="s">
        <v>18</v>
      </c>
      <c r="M644" t="s">
        <v>46</v>
      </c>
      <c r="N644">
        <f>sales_data_1[[#This Row],[Unit_Price]]-sales_data_1[[#This Row],[Unit_Cost]]</f>
        <v>499.74000000000024</v>
      </c>
      <c r="O644">
        <f>sales_data_1[[#This Row],[Unit_Price]]*sales_data_1[[#This Row],[Quantity_Sold]]</f>
        <v>123619.02000000002</v>
      </c>
      <c r="P644">
        <f>sales_data_1[[#This Row],[Unit - cost]]*sales_data_1[[#This Row],[Quantity_Sold]]</f>
        <v>20989.080000000009</v>
      </c>
    </row>
    <row r="645" spans="1:16" x14ac:dyDescent="0.3">
      <c r="A645">
        <v>1042</v>
      </c>
      <c r="B645" s="1">
        <v>45167</v>
      </c>
      <c r="C645" t="s">
        <v>37</v>
      </c>
      <c r="D645" t="s">
        <v>24</v>
      </c>
      <c r="E645">
        <v>27</v>
      </c>
      <c r="F645" t="s">
        <v>28</v>
      </c>
      <c r="G645">
        <v>1139.45</v>
      </c>
      <c r="H645">
        <v>1454.41</v>
      </c>
      <c r="I645" t="s">
        <v>16</v>
      </c>
      <c r="J645">
        <v>0.3</v>
      </c>
      <c r="K645" t="s">
        <v>26</v>
      </c>
      <c r="L645" t="s">
        <v>18</v>
      </c>
      <c r="M645" t="s">
        <v>38</v>
      </c>
      <c r="N645">
        <f>sales_data_1[[#This Row],[Unit_Price]]-sales_data_1[[#This Row],[Unit_Cost]]</f>
        <v>314.96000000000004</v>
      </c>
      <c r="O645">
        <f>sales_data_1[[#This Row],[Unit_Price]]*sales_data_1[[#This Row],[Quantity_Sold]]</f>
        <v>39269.07</v>
      </c>
      <c r="P645">
        <f>sales_data_1[[#This Row],[Unit - cost]]*sales_data_1[[#This Row],[Quantity_Sold]]</f>
        <v>8503.9200000000019</v>
      </c>
    </row>
    <row r="646" spans="1:16" x14ac:dyDescent="0.3">
      <c r="A646">
        <v>1058</v>
      </c>
      <c r="B646" s="1">
        <v>44987</v>
      </c>
      <c r="C646" t="s">
        <v>37</v>
      </c>
      <c r="D646" t="s">
        <v>33</v>
      </c>
      <c r="E646">
        <v>49</v>
      </c>
      <c r="F646" t="s">
        <v>15</v>
      </c>
      <c r="G646">
        <v>1307.22</v>
      </c>
      <c r="H646">
        <v>1528.4</v>
      </c>
      <c r="I646" t="s">
        <v>16</v>
      </c>
      <c r="J646">
        <v>0.24</v>
      </c>
      <c r="K646" t="s">
        <v>17</v>
      </c>
      <c r="L646" t="s">
        <v>21</v>
      </c>
      <c r="M646" t="s">
        <v>47</v>
      </c>
      <c r="N646">
        <f>sales_data_1[[#This Row],[Unit_Price]]-sales_data_1[[#This Row],[Unit_Cost]]</f>
        <v>221.18000000000006</v>
      </c>
      <c r="O646">
        <f>sales_data_1[[#This Row],[Unit_Price]]*sales_data_1[[#This Row],[Quantity_Sold]]</f>
        <v>74891.600000000006</v>
      </c>
      <c r="P646">
        <f>sales_data_1[[#This Row],[Unit - cost]]*sales_data_1[[#This Row],[Quantity_Sold]]</f>
        <v>10837.820000000003</v>
      </c>
    </row>
    <row r="647" spans="1:16" x14ac:dyDescent="0.3">
      <c r="A647">
        <v>1039</v>
      </c>
      <c r="B647" s="1">
        <v>45104</v>
      </c>
      <c r="C647" t="s">
        <v>13</v>
      </c>
      <c r="D647" t="s">
        <v>33</v>
      </c>
      <c r="E647">
        <v>2</v>
      </c>
      <c r="F647" t="s">
        <v>34</v>
      </c>
      <c r="G647">
        <v>4394.58</v>
      </c>
      <c r="H647">
        <v>4545.78</v>
      </c>
      <c r="I647" t="s">
        <v>16</v>
      </c>
      <c r="J647">
        <v>0.2</v>
      </c>
      <c r="K647" t="s">
        <v>30</v>
      </c>
      <c r="L647" t="s">
        <v>21</v>
      </c>
      <c r="M647" t="s">
        <v>45</v>
      </c>
      <c r="N647">
        <f>sales_data_1[[#This Row],[Unit_Price]]-sales_data_1[[#This Row],[Unit_Cost]]</f>
        <v>151.19999999999982</v>
      </c>
      <c r="O647">
        <f>sales_data_1[[#This Row],[Unit_Price]]*sales_data_1[[#This Row],[Quantity_Sold]]</f>
        <v>9091.56</v>
      </c>
      <c r="P647">
        <f>sales_data_1[[#This Row],[Unit - cost]]*sales_data_1[[#This Row],[Quantity_Sold]]</f>
        <v>302.39999999999964</v>
      </c>
    </row>
    <row r="648" spans="1:16" x14ac:dyDescent="0.3">
      <c r="A648">
        <v>1014</v>
      </c>
      <c r="B648" s="1">
        <v>45264</v>
      </c>
      <c r="C648" t="s">
        <v>13</v>
      </c>
      <c r="D648" t="s">
        <v>20</v>
      </c>
      <c r="E648">
        <v>49</v>
      </c>
      <c r="F648" t="s">
        <v>15</v>
      </c>
      <c r="G648">
        <v>493.35</v>
      </c>
      <c r="H648">
        <v>799.27</v>
      </c>
      <c r="I648" t="s">
        <v>29</v>
      </c>
      <c r="J648">
        <v>0.1</v>
      </c>
      <c r="K648" t="s">
        <v>26</v>
      </c>
      <c r="L648" t="s">
        <v>18</v>
      </c>
      <c r="M648" t="s">
        <v>22</v>
      </c>
      <c r="N648">
        <f>sales_data_1[[#This Row],[Unit_Price]]-sales_data_1[[#This Row],[Unit_Cost]]</f>
        <v>305.91999999999996</v>
      </c>
      <c r="O648">
        <f>sales_data_1[[#This Row],[Unit_Price]]*sales_data_1[[#This Row],[Quantity_Sold]]</f>
        <v>39164.229999999996</v>
      </c>
      <c r="P648">
        <f>sales_data_1[[#This Row],[Unit - cost]]*sales_data_1[[#This Row],[Quantity_Sold]]</f>
        <v>14990.079999999998</v>
      </c>
    </row>
    <row r="649" spans="1:16" x14ac:dyDescent="0.3">
      <c r="A649">
        <v>1095</v>
      </c>
      <c r="B649" s="1">
        <v>44988</v>
      </c>
      <c r="C649" t="s">
        <v>37</v>
      </c>
      <c r="D649" t="s">
        <v>33</v>
      </c>
      <c r="E649">
        <v>16</v>
      </c>
      <c r="F649" t="s">
        <v>34</v>
      </c>
      <c r="G649">
        <v>3591.05</v>
      </c>
      <c r="H649">
        <v>3625.3500000000004</v>
      </c>
      <c r="I649" t="s">
        <v>16</v>
      </c>
      <c r="J649">
        <v>0.05</v>
      </c>
      <c r="K649" t="s">
        <v>30</v>
      </c>
      <c r="L649" t="s">
        <v>21</v>
      </c>
      <c r="M649" t="s">
        <v>47</v>
      </c>
      <c r="N649">
        <f>sales_data_1[[#This Row],[Unit_Price]]-sales_data_1[[#This Row],[Unit_Cost]]</f>
        <v>34.300000000000182</v>
      </c>
      <c r="O649">
        <f>sales_data_1[[#This Row],[Unit_Price]]*sales_data_1[[#This Row],[Quantity_Sold]]</f>
        <v>58005.600000000006</v>
      </c>
      <c r="P649">
        <f>sales_data_1[[#This Row],[Unit - cost]]*sales_data_1[[#This Row],[Quantity_Sold]]</f>
        <v>548.80000000000291</v>
      </c>
    </row>
    <row r="650" spans="1:16" x14ac:dyDescent="0.3">
      <c r="A650">
        <v>1005</v>
      </c>
      <c r="B650" s="1">
        <v>45071</v>
      </c>
      <c r="C650" t="s">
        <v>37</v>
      </c>
      <c r="D650" t="s">
        <v>14</v>
      </c>
      <c r="E650">
        <v>2</v>
      </c>
      <c r="F650" t="s">
        <v>28</v>
      </c>
      <c r="G650">
        <v>1392.15</v>
      </c>
      <c r="H650">
        <v>1448.5400000000002</v>
      </c>
      <c r="I650" t="s">
        <v>16</v>
      </c>
      <c r="J650">
        <v>0.02</v>
      </c>
      <c r="K650" t="s">
        <v>26</v>
      </c>
      <c r="L650" t="s">
        <v>21</v>
      </c>
      <c r="M650" t="s">
        <v>39</v>
      </c>
      <c r="N650">
        <f>sales_data_1[[#This Row],[Unit_Price]]-sales_data_1[[#This Row],[Unit_Cost]]</f>
        <v>56.3900000000001</v>
      </c>
      <c r="O650">
        <f>sales_data_1[[#This Row],[Unit_Price]]*sales_data_1[[#This Row],[Quantity_Sold]]</f>
        <v>2897.0800000000004</v>
      </c>
      <c r="P650">
        <f>sales_data_1[[#This Row],[Unit - cost]]*sales_data_1[[#This Row],[Quantity_Sold]]</f>
        <v>112.7800000000002</v>
      </c>
    </row>
    <row r="651" spans="1:16" x14ac:dyDescent="0.3">
      <c r="A651">
        <v>1035</v>
      </c>
      <c r="B651" s="1">
        <v>45142</v>
      </c>
      <c r="C651" t="s">
        <v>23</v>
      </c>
      <c r="D651" t="s">
        <v>24</v>
      </c>
      <c r="E651">
        <v>30</v>
      </c>
      <c r="F651" t="s">
        <v>34</v>
      </c>
      <c r="G651">
        <v>3813.62</v>
      </c>
      <c r="H651">
        <v>3839.72</v>
      </c>
      <c r="I651" t="s">
        <v>29</v>
      </c>
      <c r="J651">
        <v>0.21</v>
      </c>
      <c r="K651" t="s">
        <v>30</v>
      </c>
      <c r="L651" t="s">
        <v>18</v>
      </c>
      <c r="M651" t="s">
        <v>27</v>
      </c>
      <c r="N651">
        <f>sales_data_1[[#This Row],[Unit_Price]]-sales_data_1[[#This Row],[Unit_Cost]]</f>
        <v>26.099999999999909</v>
      </c>
      <c r="O651">
        <f>sales_data_1[[#This Row],[Unit_Price]]*sales_data_1[[#This Row],[Quantity_Sold]]</f>
        <v>115191.59999999999</v>
      </c>
      <c r="P651">
        <f>sales_data_1[[#This Row],[Unit - cost]]*sales_data_1[[#This Row],[Quantity_Sold]]</f>
        <v>782.99999999999727</v>
      </c>
    </row>
    <row r="652" spans="1:16" x14ac:dyDescent="0.3">
      <c r="A652">
        <v>1087</v>
      </c>
      <c r="B652" s="1">
        <v>44929</v>
      </c>
      <c r="C652" t="s">
        <v>32</v>
      </c>
      <c r="D652" t="s">
        <v>33</v>
      </c>
      <c r="E652">
        <v>20</v>
      </c>
      <c r="F652" t="s">
        <v>15</v>
      </c>
      <c r="G652">
        <v>3625.94</v>
      </c>
      <c r="H652">
        <v>3880.53</v>
      </c>
      <c r="I652" t="s">
        <v>29</v>
      </c>
      <c r="J652">
        <v>0.24</v>
      </c>
      <c r="K652" t="s">
        <v>26</v>
      </c>
      <c r="L652" t="s">
        <v>18</v>
      </c>
      <c r="M652" t="s">
        <v>35</v>
      </c>
      <c r="N652">
        <f>sales_data_1[[#This Row],[Unit_Price]]-sales_data_1[[#This Row],[Unit_Cost]]</f>
        <v>254.59000000000015</v>
      </c>
      <c r="O652">
        <f>sales_data_1[[#This Row],[Unit_Price]]*sales_data_1[[#This Row],[Quantity_Sold]]</f>
        <v>77610.600000000006</v>
      </c>
      <c r="P652">
        <f>sales_data_1[[#This Row],[Unit - cost]]*sales_data_1[[#This Row],[Quantity_Sold]]</f>
        <v>5091.8000000000029</v>
      </c>
    </row>
    <row r="653" spans="1:16" x14ac:dyDescent="0.3">
      <c r="A653">
        <v>1093</v>
      </c>
      <c r="B653" s="1">
        <v>45086</v>
      </c>
      <c r="C653" t="s">
        <v>13</v>
      </c>
      <c r="D653" t="s">
        <v>24</v>
      </c>
      <c r="E653">
        <v>38</v>
      </c>
      <c r="F653" t="s">
        <v>25</v>
      </c>
      <c r="G653">
        <v>86.59</v>
      </c>
      <c r="H653">
        <v>390.89</v>
      </c>
      <c r="I653" t="s">
        <v>16</v>
      </c>
      <c r="J653">
        <v>0.25</v>
      </c>
      <c r="K653" t="s">
        <v>30</v>
      </c>
      <c r="L653" t="s">
        <v>18</v>
      </c>
      <c r="M653" t="s">
        <v>31</v>
      </c>
      <c r="N653">
        <f>sales_data_1[[#This Row],[Unit_Price]]-sales_data_1[[#This Row],[Unit_Cost]]</f>
        <v>304.29999999999995</v>
      </c>
      <c r="O653">
        <f>sales_data_1[[#This Row],[Unit_Price]]*sales_data_1[[#This Row],[Quantity_Sold]]</f>
        <v>14853.82</v>
      </c>
      <c r="P653">
        <f>sales_data_1[[#This Row],[Unit - cost]]*sales_data_1[[#This Row],[Quantity_Sold]]</f>
        <v>11563.399999999998</v>
      </c>
    </row>
    <row r="654" spans="1:16" x14ac:dyDescent="0.3">
      <c r="A654">
        <v>1075</v>
      </c>
      <c r="B654" s="1">
        <v>45153</v>
      </c>
      <c r="C654" t="s">
        <v>32</v>
      </c>
      <c r="D654" t="s">
        <v>14</v>
      </c>
      <c r="E654">
        <v>28</v>
      </c>
      <c r="F654" t="s">
        <v>28</v>
      </c>
      <c r="G654">
        <v>2570.2199999999998</v>
      </c>
      <c r="H654">
        <v>2610.8399999999997</v>
      </c>
      <c r="I654" t="s">
        <v>16</v>
      </c>
      <c r="J654">
        <v>0.27</v>
      </c>
      <c r="K654" t="s">
        <v>26</v>
      </c>
      <c r="L654" t="s">
        <v>21</v>
      </c>
      <c r="M654" t="s">
        <v>52</v>
      </c>
      <c r="N654">
        <f>sales_data_1[[#This Row],[Unit_Price]]-sales_data_1[[#This Row],[Unit_Cost]]</f>
        <v>40.619999999999891</v>
      </c>
      <c r="O654">
        <f>sales_data_1[[#This Row],[Unit_Price]]*sales_data_1[[#This Row],[Quantity_Sold]]</f>
        <v>73103.51999999999</v>
      </c>
      <c r="P654">
        <f>sales_data_1[[#This Row],[Unit - cost]]*sales_data_1[[#This Row],[Quantity_Sold]]</f>
        <v>1137.3599999999969</v>
      </c>
    </row>
    <row r="655" spans="1:16" x14ac:dyDescent="0.3">
      <c r="A655">
        <v>1018</v>
      </c>
      <c r="B655" s="1">
        <v>45195</v>
      </c>
      <c r="C655" t="s">
        <v>23</v>
      </c>
      <c r="D655" t="s">
        <v>33</v>
      </c>
      <c r="E655">
        <v>25</v>
      </c>
      <c r="F655" t="s">
        <v>15</v>
      </c>
      <c r="G655">
        <v>739.63</v>
      </c>
      <c r="H655">
        <v>1103.03</v>
      </c>
      <c r="I655" t="s">
        <v>29</v>
      </c>
      <c r="J655">
        <v>0.26</v>
      </c>
      <c r="K655" t="s">
        <v>26</v>
      </c>
      <c r="L655" t="s">
        <v>21</v>
      </c>
      <c r="M655" t="s">
        <v>49</v>
      </c>
      <c r="N655">
        <f>sales_data_1[[#This Row],[Unit_Price]]-sales_data_1[[#This Row],[Unit_Cost]]</f>
        <v>363.4</v>
      </c>
      <c r="O655">
        <f>sales_data_1[[#This Row],[Unit_Price]]*sales_data_1[[#This Row],[Quantity_Sold]]</f>
        <v>27575.75</v>
      </c>
      <c r="P655">
        <f>sales_data_1[[#This Row],[Unit - cost]]*sales_data_1[[#This Row],[Quantity_Sold]]</f>
        <v>9085</v>
      </c>
    </row>
    <row r="656" spans="1:16" x14ac:dyDescent="0.3">
      <c r="A656">
        <v>1076</v>
      </c>
      <c r="B656" s="1">
        <v>45046</v>
      </c>
      <c r="C656" t="s">
        <v>37</v>
      </c>
      <c r="D656" t="s">
        <v>20</v>
      </c>
      <c r="E656">
        <v>32</v>
      </c>
      <c r="F656" t="s">
        <v>28</v>
      </c>
      <c r="G656">
        <v>4337.82</v>
      </c>
      <c r="H656">
        <v>4460.71</v>
      </c>
      <c r="I656" t="s">
        <v>16</v>
      </c>
      <c r="J656">
        <v>0.3</v>
      </c>
      <c r="K656" t="s">
        <v>17</v>
      </c>
      <c r="L656" t="s">
        <v>21</v>
      </c>
      <c r="M656" t="s">
        <v>40</v>
      </c>
      <c r="N656">
        <f>sales_data_1[[#This Row],[Unit_Price]]-sales_data_1[[#This Row],[Unit_Cost]]</f>
        <v>122.89000000000033</v>
      </c>
      <c r="O656">
        <f>sales_data_1[[#This Row],[Unit_Price]]*sales_data_1[[#This Row],[Quantity_Sold]]</f>
        <v>142742.72</v>
      </c>
      <c r="P656">
        <f>sales_data_1[[#This Row],[Unit - cost]]*sales_data_1[[#This Row],[Quantity_Sold]]</f>
        <v>3932.4800000000105</v>
      </c>
    </row>
    <row r="657" spans="1:16" x14ac:dyDescent="0.3">
      <c r="A657">
        <v>1009</v>
      </c>
      <c r="B657" s="1">
        <v>45015</v>
      </c>
      <c r="C657" t="s">
        <v>32</v>
      </c>
      <c r="D657" t="s">
        <v>24</v>
      </c>
      <c r="E657">
        <v>10</v>
      </c>
      <c r="F657" t="s">
        <v>28</v>
      </c>
      <c r="G657">
        <v>4364.3500000000004</v>
      </c>
      <c r="H657">
        <v>4710.1000000000004</v>
      </c>
      <c r="I657" t="s">
        <v>29</v>
      </c>
      <c r="J657">
        <v>7.0000000000000007E-2</v>
      </c>
      <c r="K657" t="s">
        <v>30</v>
      </c>
      <c r="L657" t="s">
        <v>18</v>
      </c>
      <c r="M657" t="s">
        <v>43</v>
      </c>
      <c r="N657">
        <f>sales_data_1[[#This Row],[Unit_Price]]-sales_data_1[[#This Row],[Unit_Cost]]</f>
        <v>345.75</v>
      </c>
      <c r="O657">
        <f>sales_data_1[[#This Row],[Unit_Price]]*sales_data_1[[#This Row],[Quantity_Sold]]</f>
        <v>47101</v>
      </c>
      <c r="P657">
        <f>sales_data_1[[#This Row],[Unit - cost]]*sales_data_1[[#This Row],[Quantity_Sold]]</f>
        <v>3457.5</v>
      </c>
    </row>
    <row r="658" spans="1:16" x14ac:dyDescent="0.3">
      <c r="A658">
        <v>1074</v>
      </c>
      <c r="B658" s="1">
        <v>45255</v>
      </c>
      <c r="C658" t="s">
        <v>37</v>
      </c>
      <c r="D658" t="s">
        <v>14</v>
      </c>
      <c r="E658">
        <v>42</v>
      </c>
      <c r="F658" t="s">
        <v>15</v>
      </c>
      <c r="G658">
        <v>2120.81</v>
      </c>
      <c r="H658">
        <v>2611.94</v>
      </c>
      <c r="I658" t="s">
        <v>16</v>
      </c>
      <c r="J658">
        <v>0.23</v>
      </c>
      <c r="K658" t="s">
        <v>17</v>
      </c>
      <c r="L658" t="s">
        <v>18</v>
      </c>
      <c r="M658" t="s">
        <v>39</v>
      </c>
      <c r="N658">
        <f>sales_data_1[[#This Row],[Unit_Price]]-sales_data_1[[#This Row],[Unit_Cost]]</f>
        <v>491.13000000000011</v>
      </c>
      <c r="O658">
        <f>sales_data_1[[#This Row],[Unit_Price]]*sales_data_1[[#This Row],[Quantity_Sold]]</f>
        <v>109701.48</v>
      </c>
      <c r="P658">
        <f>sales_data_1[[#This Row],[Unit - cost]]*sales_data_1[[#This Row],[Quantity_Sold]]</f>
        <v>20627.460000000006</v>
      </c>
    </row>
    <row r="659" spans="1:16" x14ac:dyDescent="0.3">
      <c r="A659">
        <v>1058</v>
      </c>
      <c r="B659" s="1">
        <v>44994</v>
      </c>
      <c r="C659" t="s">
        <v>37</v>
      </c>
      <c r="D659" t="s">
        <v>24</v>
      </c>
      <c r="E659">
        <v>40</v>
      </c>
      <c r="F659" t="s">
        <v>15</v>
      </c>
      <c r="G659">
        <v>2249.7600000000002</v>
      </c>
      <c r="H659">
        <v>2598.4</v>
      </c>
      <c r="I659" t="s">
        <v>16</v>
      </c>
      <c r="J659">
        <v>0.18</v>
      </c>
      <c r="K659" t="s">
        <v>30</v>
      </c>
      <c r="L659" t="s">
        <v>21</v>
      </c>
      <c r="M659" t="s">
        <v>38</v>
      </c>
      <c r="N659">
        <f>sales_data_1[[#This Row],[Unit_Price]]-sales_data_1[[#This Row],[Unit_Cost]]</f>
        <v>348.63999999999987</v>
      </c>
      <c r="O659">
        <f>sales_data_1[[#This Row],[Unit_Price]]*sales_data_1[[#This Row],[Quantity_Sold]]</f>
        <v>103936</v>
      </c>
      <c r="P659">
        <f>sales_data_1[[#This Row],[Unit - cost]]*sales_data_1[[#This Row],[Quantity_Sold]]</f>
        <v>13945.599999999995</v>
      </c>
    </row>
    <row r="660" spans="1:16" x14ac:dyDescent="0.3">
      <c r="A660">
        <v>1017</v>
      </c>
      <c r="B660" s="1">
        <v>45283</v>
      </c>
      <c r="C660" t="s">
        <v>41</v>
      </c>
      <c r="D660" t="s">
        <v>33</v>
      </c>
      <c r="E660">
        <v>33</v>
      </c>
      <c r="F660" t="s">
        <v>25</v>
      </c>
      <c r="G660">
        <v>1551.25</v>
      </c>
      <c r="H660">
        <v>1994.01</v>
      </c>
      <c r="I660" t="s">
        <v>16</v>
      </c>
      <c r="J660">
        <v>0.08</v>
      </c>
      <c r="K660" t="s">
        <v>17</v>
      </c>
      <c r="L660" t="s">
        <v>18</v>
      </c>
      <c r="M660" t="s">
        <v>51</v>
      </c>
      <c r="N660">
        <f>sales_data_1[[#This Row],[Unit_Price]]-sales_data_1[[#This Row],[Unit_Cost]]</f>
        <v>442.76</v>
      </c>
      <c r="O660">
        <f>sales_data_1[[#This Row],[Unit_Price]]*sales_data_1[[#This Row],[Quantity_Sold]]</f>
        <v>65802.33</v>
      </c>
      <c r="P660">
        <f>sales_data_1[[#This Row],[Unit - cost]]*sales_data_1[[#This Row],[Quantity_Sold]]</f>
        <v>14611.08</v>
      </c>
    </row>
    <row r="661" spans="1:16" x14ac:dyDescent="0.3">
      <c r="A661">
        <v>1007</v>
      </c>
      <c r="B661" s="1">
        <v>45024</v>
      </c>
      <c r="C661" t="s">
        <v>32</v>
      </c>
      <c r="D661" t="s">
        <v>33</v>
      </c>
      <c r="E661">
        <v>13</v>
      </c>
      <c r="F661" t="s">
        <v>28</v>
      </c>
      <c r="G661">
        <v>3597.2</v>
      </c>
      <c r="H661">
        <v>4071.8199999999997</v>
      </c>
      <c r="I661" t="s">
        <v>16</v>
      </c>
      <c r="J661">
        <v>0.28999999999999998</v>
      </c>
      <c r="K661" t="s">
        <v>26</v>
      </c>
      <c r="L661" t="s">
        <v>18</v>
      </c>
      <c r="M661" t="s">
        <v>35</v>
      </c>
      <c r="N661">
        <f>sales_data_1[[#This Row],[Unit_Price]]-sales_data_1[[#This Row],[Unit_Cost]]</f>
        <v>474.61999999999989</v>
      </c>
      <c r="O661">
        <f>sales_data_1[[#This Row],[Unit_Price]]*sales_data_1[[#This Row],[Quantity_Sold]]</f>
        <v>52933.659999999996</v>
      </c>
      <c r="P661">
        <f>sales_data_1[[#This Row],[Unit - cost]]*sales_data_1[[#This Row],[Quantity_Sold]]</f>
        <v>6170.0599999999986</v>
      </c>
    </row>
    <row r="662" spans="1:16" x14ac:dyDescent="0.3">
      <c r="A662">
        <v>1046</v>
      </c>
      <c r="B662" s="1">
        <v>45193</v>
      </c>
      <c r="C662" t="s">
        <v>32</v>
      </c>
      <c r="D662" t="s">
        <v>20</v>
      </c>
      <c r="E662">
        <v>41</v>
      </c>
      <c r="F662" t="s">
        <v>28</v>
      </c>
      <c r="G662">
        <v>1825.37</v>
      </c>
      <c r="H662">
        <v>2073.88</v>
      </c>
      <c r="I662" t="s">
        <v>16</v>
      </c>
      <c r="J662">
        <v>0.27</v>
      </c>
      <c r="K662" t="s">
        <v>17</v>
      </c>
      <c r="L662" t="s">
        <v>21</v>
      </c>
      <c r="M662" t="s">
        <v>36</v>
      </c>
      <c r="N662">
        <f>sales_data_1[[#This Row],[Unit_Price]]-sales_data_1[[#This Row],[Unit_Cost]]</f>
        <v>248.51000000000022</v>
      </c>
      <c r="O662">
        <f>sales_data_1[[#This Row],[Unit_Price]]*sales_data_1[[#This Row],[Quantity_Sold]]</f>
        <v>85029.08</v>
      </c>
      <c r="P662">
        <f>sales_data_1[[#This Row],[Unit - cost]]*sales_data_1[[#This Row],[Quantity_Sold]]</f>
        <v>10188.910000000009</v>
      </c>
    </row>
    <row r="663" spans="1:16" x14ac:dyDescent="0.3">
      <c r="A663">
        <v>1013</v>
      </c>
      <c r="B663" s="1">
        <v>45031</v>
      </c>
      <c r="C663" t="s">
        <v>37</v>
      </c>
      <c r="D663" t="s">
        <v>14</v>
      </c>
      <c r="E663">
        <v>42</v>
      </c>
      <c r="F663" t="s">
        <v>15</v>
      </c>
      <c r="G663">
        <v>1375.57</v>
      </c>
      <c r="H663">
        <v>1729.71</v>
      </c>
      <c r="I663" t="s">
        <v>29</v>
      </c>
      <c r="J663">
        <v>0.04</v>
      </c>
      <c r="K663" t="s">
        <v>17</v>
      </c>
      <c r="L663" t="s">
        <v>18</v>
      </c>
      <c r="M663" t="s">
        <v>39</v>
      </c>
      <c r="N663">
        <f>sales_data_1[[#This Row],[Unit_Price]]-sales_data_1[[#This Row],[Unit_Cost]]</f>
        <v>354.1400000000001</v>
      </c>
      <c r="O663">
        <f>sales_data_1[[#This Row],[Unit_Price]]*sales_data_1[[#This Row],[Quantity_Sold]]</f>
        <v>72647.820000000007</v>
      </c>
      <c r="P663">
        <f>sales_data_1[[#This Row],[Unit - cost]]*sales_data_1[[#This Row],[Quantity_Sold]]</f>
        <v>14873.880000000005</v>
      </c>
    </row>
    <row r="664" spans="1:16" x14ac:dyDescent="0.3">
      <c r="A664">
        <v>1040</v>
      </c>
      <c r="B664" s="1">
        <v>45249</v>
      </c>
      <c r="C664" t="s">
        <v>23</v>
      </c>
      <c r="D664" t="s">
        <v>14</v>
      </c>
      <c r="E664">
        <v>47</v>
      </c>
      <c r="F664" t="s">
        <v>34</v>
      </c>
      <c r="G664">
        <v>2189.54</v>
      </c>
      <c r="H664">
        <v>2617</v>
      </c>
      <c r="I664" t="s">
        <v>29</v>
      </c>
      <c r="J664">
        <v>0.01</v>
      </c>
      <c r="K664" t="s">
        <v>26</v>
      </c>
      <c r="L664" t="s">
        <v>18</v>
      </c>
      <c r="M664" t="s">
        <v>44</v>
      </c>
      <c r="N664">
        <f>sales_data_1[[#This Row],[Unit_Price]]-sales_data_1[[#This Row],[Unit_Cost]]</f>
        <v>427.46000000000004</v>
      </c>
      <c r="O664">
        <f>sales_data_1[[#This Row],[Unit_Price]]*sales_data_1[[#This Row],[Quantity_Sold]]</f>
        <v>122999</v>
      </c>
      <c r="P664">
        <f>sales_data_1[[#This Row],[Unit - cost]]*sales_data_1[[#This Row],[Quantity_Sold]]</f>
        <v>20090.620000000003</v>
      </c>
    </row>
    <row r="665" spans="1:16" x14ac:dyDescent="0.3">
      <c r="A665">
        <v>1042</v>
      </c>
      <c r="B665" s="1">
        <v>45049</v>
      </c>
      <c r="C665" t="s">
        <v>41</v>
      </c>
      <c r="D665" t="s">
        <v>20</v>
      </c>
      <c r="E665">
        <v>37</v>
      </c>
      <c r="F665" t="s">
        <v>15</v>
      </c>
      <c r="G665">
        <v>502.86</v>
      </c>
      <c r="H665">
        <v>687.6</v>
      </c>
      <c r="I665" t="s">
        <v>16</v>
      </c>
      <c r="J665">
        <v>0.21</v>
      </c>
      <c r="K665" t="s">
        <v>17</v>
      </c>
      <c r="L665" t="s">
        <v>18</v>
      </c>
      <c r="M665" t="s">
        <v>50</v>
      </c>
      <c r="N665">
        <f>sales_data_1[[#This Row],[Unit_Price]]-sales_data_1[[#This Row],[Unit_Cost]]</f>
        <v>184.74</v>
      </c>
      <c r="O665">
        <f>sales_data_1[[#This Row],[Unit_Price]]*sales_data_1[[#This Row],[Quantity_Sold]]</f>
        <v>25441.200000000001</v>
      </c>
      <c r="P665">
        <f>sales_data_1[[#This Row],[Unit - cost]]*sales_data_1[[#This Row],[Quantity_Sold]]</f>
        <v>6835.38</v>
      </c>
    </row>
    <row r="666" spans="1:16" x14ac:dyDescent="0.3">
      <c r="A666">
        <v>1009</v>
      </c>
      <c r="B666" s="1">
        <v>44955</v>
      </c>
      <c r="C666" t="s">
        <v>37</v>
      </c>
      <c r="D666" t="s">
        <v>20</v>
      </c>
      <c r="E666">
        <v>16</v>
      </c>
      <c r="F666" t="s">
        <v>28</v>
      </c>
      <c r="G666">
        <v>3745.69</v>
      </c>
      <c r="H666">
        <v>3883.77</v>
      </c>
      <c r="I666" t="s">
        <v>16</v>
      </c>
      <c r="J666">
        <v>0.18</v>
      </c>
      <c r="K666" t="s">
        <v>26</v>
      </c>
      <c r="L666" t="s">
        <v>21</v>
      </c>
      <c r="M666" t="s">
        <v>40</v>
      </c>
      <c r="N666">
        <f>sales_data_1[[#This Row],[Unit_Price]]-sales_data_1[[#This Row],[Unit_Cost]]</f>
        <v>138.07999999999993</v>
      </c>
      <c r="O666">
        <f>sales_data_1[[#This Row],[Unit_Price]]*sales_data_1[[#This Row],[Quantity_Sold]]</f>
        <v>62140.32</v>
      </c>
      <c r="P666">
        <f>sales_data_1[[#This Row],[Unit - cost]]*sales_data_1[[#This Row],[Quantity_Sold]]</f>
        <v>2209.2799999999988</v>
      </c>
    </row>
    <row r="667" spans="1:16" x14ac:dyDescent="0.3">
      <c r="A667">
        <v>1050</v>
      </c>
      <c r="B667" s="1">
        <v>45063</v>
      </c>
      <c r="C667" t="s">
        <v>13</v>
      </c>
      <c r="D667" t="s">
        <v>14</v>
      </c>
      <c r="E667">
        <v>45</v>
      </c>
      <c r="F667" t="s">
        <v>15</v>
      </c>
      <c r="G667">
        <v>112.35</v>
      </c>
      <c r="H667">
        <v>586.17999999999995</v>
      </c>
      <c r="I667" t="s">
        <v>16</v>
      </c>
      <c r="J667">
        <v>0.28000000000000003</v>
      </c>
      <c r="K667" t="s">
        <v>30</v>
      </c>
      <c r="L667" t="s">
        <v>21</v>
      </c>
      <c r="M667" t="s">
        <v>19</v>
      </c>
      <c r="N667">
        <f>sales_data_1[[#This Row],[Unit_Price]]-sales_data_1[[#This Row],[Unit_Cost]]</f>
        <v>473.82999999999993</v>
      </c>
      <c r="O667">
        <f>sales_data_1[[#This Row],[Unit_Price]]*sales_data_1[[#This Row],[Quantity_Sold]]</f>
        <v>26378.1</v>
      </c>
      <c r="P667">
        <f>sales_data_1[[#This Row],[Unit - cost]]*sales_data_1[[#This Row],[Quantity_Sold]]</f>
        <v>21322.35</v>
      </c>
    </row>
    <row r="668" spans="1:16" x14ac:dyDescent="0.3">
      <c r="A668">
        <v>1027</v>
      </c>
      <c r="B668" s="1">
        <v>45121</v>
      </c>
      <c r="C668" t="s">
        <v>13</v>
      </c>
      <c r="D668" t="s">
        <v>24</v>
      </c>
      <c r="E668">
        <v>22</v>
      </c>
      <c r="F668" t="s">
        <v>25</v>
      </c>
      <c r="G668">
        <v>3240.2</v>
      </c>
      <c r="H668">
        <v>3606.0899999999997</v>
      </c>
      <c r="I668" t="s">
        <v>29</v>
      </c>
      <c r="J668">
        <v>7.0000000000000007E-2</v>
      </c>
      <c r="K668" t="s">
        <v>17</v>
      </c>
      <c r="L668" t="s">
        <v>18</v>
      </c>
      <c r="M668" t="s">
        <v>31</v>
      </c>
      <c r="N668">
        <f>sales_data_1[[#This Row],[Unit_Price]]-sales_data_1[[#This Row],[Unit_Cost]]</f>
        <v>365.88999999999987</v>
      </c>
      <c r="O668">
        <f>sales_data_1[[#This Row],[Unit_Price]]*sales_data_1[[#This Row],[Quantity_Sold]]</f>
        <v>79333.98</v>
      </c>
      <c r="P668">
        <f>sales_data_1[[#This Row],[Unit - cost]]*sales_data_1[[#This Row],[Quantity_Sold]]</f>
        <v>8049.5799999999972</v>
      </c>
    </row>
    <row r="669" spans="1:16" x14ac:dyDescent="0.3">
      <c r="A669">
        <v>1066</v>
      </c>
      <c r="B669" s="1">
        <v>45152</v>
      </c>
      <c r="C669" t="s">
        <v>41</v>
      </c>
      <c r="D669" t="s">
        <v>24</v>
      </c>
      <c r="E669">
        <v>20</v>
      </c>
      <c r="F669" t="s">
        <v>34</v>
      </c>
      <c r="G669">
        <v>955.18</v>
      </c>
      <c r="H669">
        <v>1072.82</v>
      </c>
      <c r="I669" t="s">
        <v>29</v>
      </c>
      <c r="J669">
        <v>0.03</v>
      </c>
      <c r="K669" t="s">
        <v>26</v>
      </c>
      <c r="L669" t="s">
        <v>21</v>
      </c>
      <c r="M669" t="s">
        <v>42</v>
      </c>
      <c r="N669">
        <f>sales_data_1[[#This Row],[Unit_Price]]-sales_data_1[[#This Row],[Unit_Cost]]</f>
        <v>117.63999999999999</v>
      </c>
      <c r="O669">
        <f>sales_data_1[[#This Row],[Unit_Price]]*sales_data_1[[#This Row],[Quantity_Sold]]</f>
        <v>21456.399999999998</v>
      </c>
      <c r="P669">
        <f>sales_data_1[[#This Row],[Unit - cost]]*sales_data_1[[#This Row],[Quantity_Sold]]</f>
        <v>2352.7999999999997</v>
      </c>
    </row>
    <row r="670" spans="1:16" x14ac:dyDescent="0.3">
      <c r="A670">
        <v>1005</v>
      </c>
      <c r="B670" s="1">
        <v>45258</v>
      </c>
      <c r="C670" t="s">
        <v>23</v>
      </c>
      <c r="D670" t="s">
        <v>20</v>
      </c>
      <c r="E670">
        <v>43</v>
      </c>
      <c r="F670" t="s">
        <v>15</v>
      </c>
      <c r="G670">
        <v>1200.4000000000001</v>
      </c>
      <c r="H670">
        <v>1430.45</v>
      </c>
      <c r="I670" t="s">
        <v>29</v>
      </c>
      <c r="J670">
        <v>0.08</v>
      </c>
      <c r="K670" t="s">
        <v>26</v>
      </c>
      <c r="L670" t="s">
        <v>21</v>
      </c>
      <c r="M670" t="s">
        <v>46</v>
      </c>
      <c r="N670">
        <f>sales_data_1[[#This Row],[Unit_Price]]-sales_data_1[[#This Row],[Unit_Cost]]</f>
        <v>230.04999999999995</v>
      </c>
      <c r="O670">
        <f>sales_data_1[[#This Row],[Unit_Price]]*sales_data_1[[#This Row],[Quantity_Sold]]</f>
        <v>61509.35</v>
      </c>
      <c r="P670">
        <f>sales_data_1[[#This Row],[Unit - cost]]*sales_data_1[[#This Row],[Quantity_Sold]]</f>
        <v>9892.1499999999978</v>
      </c>
    </row>
    <row r="671" spans="1:16" x14ac:dyDescent="0.3">
      <c r="A671">
        <v>1029</v>
      </c>
      <c r="B671" s="1">
        <v>45096</v>
      </c>
      <c r="C671" t="s">
        <v>37</v>
      </c>
      <c r="D671" t="s">
        <v>24</v>
      </c>
      <c r="E671">
        <v>27</v>
      </c>
      <c r="F671" t="s">
        <v>25</v>
      </c>
      <c r="G671">
        <v>3196.38</v>
      </c>
      <c r="H671">
        <v>3596.6400000000003</v>
      </c>
      <c r="I671" t="s">
        <v>29</v>
      </c>
      <c r="J671">
        <v>0.01</v>
      </c>
      <c r="K671" t="s">
        <v>17</v>
      </c>
      <c r="L671" t="s">
        <v>21</v>
      </c>
      <c r="M671" t="s">
        <v>38</v>
      </c>
      <c r="N671">
        <f>sales_data_1[[#This Row],[Unit_Price]]-sales_data_1[[#This Row],[Unit_Cost]]</f>
        <v>400.26000000000022</v>
      </c>
      <c r="O671">
        <f>sales_data_1[[#This Row],[Unit_Price]]*sales_data_1[[#This Row],[Quantity_Sold]]</f>
        <v>97109.280000000013</v>
      </c>
      <c r="P671">
        <f>sales_data_1[[#This Row],[Unit - cost]]*sales_data_1[[#This Row],[Quantity_Sold]]</f>
        <v>10807.020000000006</v>
      </c>
    </row>
    <row r="672" spans="1:16" x14ac:dyDescent="0.3">
      <c r="A672">
        <v>1037</v>
      </c>
      <c r="B672" s="1">
        <v>44935</v>
      </c>
      <c r="C672" t="s">
        <v>32</v>
      </c>
      <c r="D672" t="s">
        <v>14</v>
      </c>
      <c r="E672">
        <v>41</v>
      </c>
      <c r="F672" t="s">
        <v>28</v>
      </c>
      <c r="G672">
        <v>4965.07</v>
      </c>
      <c r="H672">
        <v>5243.13</v>
      </c>
      <c r="I672" t="s">
        <v>29</v>
      </c>
      <c r="J672">
        <v>0.01</v>
      </c>
      <c r="K672" t="s">
        <v>30</v>
      </c>
      <c r="L672" t="s">
        <v>18</v>
      </c>
      <c r="M672" t="s">
        <v>52</v>
      </c>
      <c r="N672">
        <f>sales_data_1[[#This Row],[Unit_Price]]-sales_data_1[[#This Row],[Unit_Cost]]</f>
        <v>278.0600000000004</v>
      </c>
      <c r="O672">
        <f>sales_data_1[[#This Row],[Unit_Price]]*sales_data_1[[#This Row],[Quantity_Sold]]</f>
        <v>214968.33000000002</v>
      </c>
      <c r="P672">
        <f>sales_data_1[[#This Row],[Unit - cost]]*sales_data_1[[#This Row],[Quantity_Sold]]</f>
        <v>11400.460000000017</v>
      </c>
    </row>
    <row r="673" spans="1:16" x14ac:dyDescent="0.3">
      <c r="A673">
        <v>1038</v>
      </c>
      <c r="B673" s="1">
        <v>44966</v>
      </c>
      <c r="C673" t="s">
        <v>41</v>
      </c>
      <c r="D673" t="s">
        <v>33</v>
      </c>
      <c r="E673">
        <v>16</v>
      </c>
      <c r="F673" t="s">
        <v>15</v>
      </c>
      <c r="G673">
        <v>3899.7</v>
      </c>
      <c r="H673">
        <v>4228.18</v>
      </c>
      <c r="I673" t="s">
        <v>29</v>
      </c>
      <c r="J673">
        <v>0.27</v>
      </c>
      <c r="K673" t="s">
        <v>17</v>
      </c>
      <c r="L673" t="s">
        <v>21</v>
      </c>
      <c r="M673" t="s">
        <v>51</v>
      </c>
      <c r="N673">
        <f>sales_data_1[[#This Row],[Unit_Price]]-sales_data_1[[#This Row],[Unit_Cost]]</f>
        <v>328.48000000000047</v>
      </c>
      <c r="O673">
        <f>sales_data_1[[#This Row],[Unit_Price]]*sales_data_1[[#This Row],[Quantity_Sold]]</f>
        <v>67650.880000000005</v>
      </c>
      <c r="P673">
        <f>sales_data_1[[#This Row],[Unit - cost]]*sales_data_1[[#This Row],[Quantity_Sold]]</f>
        <v>5255.6800000000076</v>
      </c>
    </row>
    <row r="674" spans="1:16" x14ac:dyDescent="0.3">
      <c r="A674">
        <v>1083</v>
      </c>
      <c r="B674" s="1">
        <v>44951</v>
      </c>
      <c r="C674" t="s">
        <v>23</v>
      </c>
      <c r="D674" t="s">
        <v>33</v>
      </c>
      <c r="E674">
        <v>34</v>
      </c>
      <c r="F674" t="s">
        <v>28</v>
      </c>
      <c r="G674">
        <v>1167.9100000000001</v>
      </c>
      <c r="H674">
        <v>1547.2600000000002</v>
      </c>
      <c r="I674" t="s">
        <v>29</v>
      </c>
      <c r="J674">
        <v>0.11</v>
      </c>
      <c r="K674" t="s">
        <v>26</v>
      </c>
      <c r="L674" t="s">
        <v>18</v>
      </c>
      <c r="M674" t="s">
        <v>49</v>
      </c>
      <c r="N674">
        <f>sales_data_1[[#This Row],[Unit_Price]]-sales_data_1[[#This Row],[Unit_Cost]]</f>
        <v>379.35000000000014</v>
      </c>
      <c r="O674">
        <f>sales_data_1[[#This Row],[Unit_Price]]*sales_data_1[[#This Row],[Quantity_Sold]]</f>
        <v>52606.840000000011</v>
      </c>
      <c r="P674">
        <f>sales_data_1[[#This Row],[Unit - cost]]*sales_data_1[[#This Row],[Quantity_Sold]]</f>
        <v>12897.900000000005</v>
      </c>
    </row>
    <row r="675" spans="1:16" x14ac:dyDescent="0.3">
      <c r="A675">
        <v>1008</v>
      </c>
      <c r="B675" s="1">
        <v>45187</v>
      </c>
      <c r="C675" t="s">
        <v>32</v>
      </c>
      <c r="D675" t="s">
        <v>24</v>
      </c>
      <c r="E675">
        <v>32</v>
      </c>
      <c r="F675" t="s">
        <v>25</v>
      </c>
      <c r="G675">
        <v>921.32</v>
      </c>
      <c r="H675">
        <v>1236.0999999999999</v>
      </c>
      <c r="I675" t="s">
        <v>29</v>
      </c>
      <c r="J675">
        <v>0.12</v>
      </c>
      <c r="K675" t="s">
        <v>30</v>
      </c>
      <c r="L675" t="s">
        <v>18</v>
      </c>
      <c r="M675" t="s">
        <v>43</v>
      </c>
      <c r="N675">
        <f>sales_data_1[[#This Row],[Unit_Price]]-sales_data_1[[#This Row],[Unit_Cost]]</f>
        <v>314.77999999999986</v>
      </c>
      <c r="O675">
        <f>sales_data_1[[#This Row],[Unit_Price]]*sales_data_1[[#This Row],[Quantity_Sold]]</f>
        <v>39555.199999999997</v>
      </c>
      <c r="P675">
        <f>sales_data_1[[#This Row],[Unit - cost]]*sales_data_1[[#This Row],[Quantity_Sold]]</f>
        <v>10072.959999999995</v>
      </c>
    </row>
    <row r="676" spans="1:16" x14ac:dyDescent="0.3">
      <c r="A676">
        <v>1065</v>
      </c>
      <c r="B676" s="1">
        <v>45152</v>
      </c>
      <c r="C676" t="s">
        <v>13</v>
      </c>
      <c r="D676" t="s">
        <v>20</v>
      </c>
      <c r="E676">
        <v>26</v>
      </c>
      <c r="F676" t="s">
        <v>28</v>
      </c>
      <c r="G676">
        <v>4337.8500000000004</v>
      </c>
      <c r="H676">
        <v>4612.4900000000007</v>
      </c>
      <c r="I676" t="s">
        <v>16</v>
      </c>
      <c r="J676">
        <v>0.01</v>
      </c>
      <c r="K676" t="s">
        <v>17</v>
      </c>
      <c r="L676" t="s">
        <v>21</v>
      </c>
      <c r="M676" t="s">
        <v>22</v>
      </c>
      <c r="N676">
        <f>sales_data_1[[#This Row],[Unit_Price]]-sales_data_1[[#This Row],[Unit_Cost]]</f>
        <v>274.64000000000033</v>
      </c>
      <c r="O676">
        <f>sales_data_1[[#This Row],[Unit_Price]]*sales_data_1[[#This Row],[Quantity_Sold]]</f>
        <v>119924.74000000002</v>
      </c>
      <c r="P676">
        <f>sales_data_1[[#This Row],[Unit - cost]]*sales_data_1[[#This Row],[Quantity_Sold]]</f>
        <v>7140.6400000000085</v>
      </c>
    </row>
    <row r="677" spans="1:16" x14ac:dyDescent="0.3">
      <c r="A677">
        <v>1086</v>
      </c>
      <c r="B677" s="1">
        <v>45050</v>
      </c>
      <c r="C677" t="s">
        <v>13</v>
      </c>
      <c r="D677" t="s">
        <v>20</v>
      </c>
      <c r="E677">
        <v>25</v>
      </c>
      <c r="F677" t="s">
        <v>25</v>
      </c>
      <c r="G677">
        <v>2248.71</v>
      </c>
      <c r="H677">
        <v>2626.02</v>
      </c>
      <c r="I677" t="s">
        <v>29</v>
      </c>
      <c r="J677">
        <v>0.08</v>
      </c>
      <c r="K677" t="s">
        <v>26</v>
      </c>
      <c r="L677" t="s">
        <v>18</v>
      </c>
      <c r="M677" t="s">
        <v>22</v>
      </c>
      <c r="N677">
        <f>sales_data_1[[#This Row],[Unit_Price]]-sales_data_1[[#This Row],[Unit_Cost]]</f>
        <v>377.30999999999995</v>
      </c>
      <c r="O677">
        <f>sales_data_1[[#This Row],[Unit_Price]]*sales_data_1[[#This Row],[Quantity_Sold]]</f>
        <v>65650.5</v>
      </c>
      <c r="P677">
        <f>sales_data_1[[#This Row],[Unit - cost]]*sales_data_1[[#This Row],[Quantity_Sold]]</f>
        <v>9432.7499999999982</v>
      </c>
    </row>
    <row r="678" spans="1:16" x14ac:dyDescent="0.3">
      <c r="A678">
        <v>1017</v>
      </c>
      <c r="B678" s="1">
        <v>44964</v>
      </c>
      <c r="C678" t="s">
        <v>32</v>
      </c>
      <c r="D678" t="s">
        <v>20</v>
      </c>
      <c r="E678">
        <v>2</v>
      </c>
      <c r="F678" t="s">
        <v>25</v>
      </c>
      <c r="G678">
        <v>728.41</v>
      </c>
      <c r="H678">
        <v>1094.92</v>
      </c>
      <c r="I678" t="s">
        <v>29</v>
      </c>
      <c r="J678">
        <v>0.24</v>
      </c>
      <c r="K678" t="s">
        <v>17</v>
      </c>
      <c r="L678" t="s">
        <v>21</v>
      </c>
      <c r="M678" t="s">
        <v>36</v>
      </c>
      <c r="N678">
        <f>sales_data_1[[#This Row],[Unit_Price]]-sales_data_1[[#This Row],[Unit_Cost]]</f>
        <v>366.5100000000001</v>
      </c>
      <c r="O678">
        <f>sales_data_1[[#This Row],[Unit_Price]]*sales_data_1[[#This Row],[Quantity_Sold]]</f>
        <v>2189.84</v>
      </c>
      <c r="P678">
        <f>sales_data_1[[#This Row],[Unit - cost]]*sales_data_1[[#This Row],[Quantity_Sold]]</f>
        <v>733.02000000000021</v>
      </c>
    </row>
    <row r="679" spans="1:16" x14ac:dyDescent="0.3">
      <c r="A679">
        <v>1071</v>
      </c>
      <c r="B679" s="1">
        <v>45254</v>
      </c>
      <c r="C679" t="s">
        <v>41</v>
      </c>
      <c r="D679" t="s">
        <v>20</v>
      </c>
      <c r="E679">
        <v>12</v>
      </c>
      <c r="F679" t="s">
        <v>25</v>
      </c>
      <c r="G679">
        <v>4317.95</v>
      </c>
      <c r="H679">
        <v>4636.59</v>
      </c>
      <c r="I679" t="s">
        <v>29</v>
      </c>
      <c r="J679">
        <v>0.18</v>
      </c>
      <c r="K679" t="s">
        <v>30</v>
      </c>
      <c r="L679" t="s">
        <v>21</v>
      </c>
      <c r="M679" t="s">
        <v>50</v>
      </c>
      <c r="N679">
        <f>sales_data_1[[#This Row],[Unit_Price]]-sales_data_1[[#This Row],[Unit_Cost]]</f>
        <v>318.64000000000033</v>
      </c>
      <c r="O679">
        <f>sales_data_1[[#This Row],[Unit_Price]]*sales_data_1[[#This Row],[Quantity_Sold]]</f>
        <v>55639.08</v>
      </c>
      <c r="P679">
        <f>sales_data_1[[#This Row],[Unit - cost]]*sales_data_1[[#This Row],[Quantity_Sold]]</f>
        <v>3823.6800000000039</v>
      </c>
    </row>
    <row r="680" spans="1:16" x14ac:dyDescent="0.3">
      <c r="A680">
        <v>1089</v>
      </c>
      <c r="B680" s="1">
        <v>45177</v>
      </c>
      <c r="C680" t="s">
        <v>13</v>
      </c>
      <c r="D680" t="s">
        <v>20</v>
      </c>
      <c r="E680">
        <v>40</v>
      </c>
      <c r="F680" t="s">
        <v>15</v>
      </c>
      <c r="G680">
        <v>4089.66</v>
      </c>
      <c r="H680">
        <v>4275.96</v>
      </c>
      <c r="I680" t="s">
        <v>29</v>
      </c>
      <c r="J680">
        <v>0.23</v>
      </c>
      <c r="K680" t="s">
        <v>30</v>
      </c>
      <c r="L680" t="s">
        <v>18</v>
      </c>
      <c r="M680" t="s">
        <v>22</v>
      </c>
      <c r="N680">
        <f>sales_data_1[[#This Row],[Unit_Price]]-sales_data_1[[#This Row],[Unit_Cost]]</f>
        <v>186.30000000000018</v>
      </c>
      <c r="O680">
        <f>sales_data_1[[#This Row],[Unit_Price]]*sales_data_1[[#This Row],[Quantity_Sold]]</f>
        <v>171038.4</v>
      </c>
      <c r="P680">
        <f>sales_data_1[[#This Row],[Unit - cost]]*sales_data_1[[#This Row],[Quantity_Sold]]</f>
        <v>7452.0000000000073</v>
      </c>
    </row>
    <row r="681" spans="1:16" x14ac:dyDescent="0.3">
      <c r="A681">
        <v>1045</v>
      </c>
      <c r="B681" s="1">
        <v>45102</v>
      </c>
      <c r="C681" t="s">
        <v>37</v>
      </c>
      <c r="D681" t="s">
        <v>24</v>
      </c>
      <c r="E681">
        <v>9</v>
      </c>
      <c r="F681" t="s">
        <v>28</v>
      </c>
      <c r="G681">
        <v>4920.34</v>
      </c>
      <c r="H681">
        <v>5129.1900000000005</v>
      </c>
      <c r="I681" t="s">
        <v>16</v>
      </c>
      <c r="J681">
        <v>0.13</v>
      </c>
      <c r="K681" t="s">
        <v>30</v>
      </c>
      <c r="L681" t="s">
        <v>18</v>
      </c>
      <c r="M681" t="s">
        <v>38</v>
      </c>
      <c r="N681">
        <f>sales_data_1[[#This Row],[Unit_Price]]-sales_data_1[[#This Row],[Unit_Cost]]</f>
        <v>208.85000000000036</v>
      </c>
      <c r="O681">
        <f>sales_data_1[[#This Row],[Unit_Price]]*sales_data_1[[#This Row],[Quantity_Sold]]</f>
        <v>46162.710000000006</v>
      </c>
      <c r="P681">
        <f>sales_data_1[[#This Row],[Unit - cost]]*sales_data_1[[#This Row],[Quantity_Sold]]</f>
        <v>1879.6500000000033</v>
      </c>
    </row>
    <row r="682" spans="1:16" x14ac:dyDescent="0.3">
      <c r="A682">
        <v>1004</v>
      </c>
      <c r="B682" s="1">
        <v>45016</v>
      </c>
      <c r="C682" t="s">
        <v>32</v>
      </c>
      <c r="D682" t="s">
        <v>33</v>
      </c>
      <c r="E682">
        <v>12</v>
      </c>
      <c r="F682" t="s">
        <v>28</v>
      </c>
      <c r="G682">
        <v>4553.2299999999996</v>
      </c>
      <c r="H682">
        <v>5038.74</v>
      </c>
      <c r="I682" t="s">
        <v>29</v>
      </c>
      <c r="J682">
        <v>0.09</v>
      </c>
      <c r="K682" t="s">
        <v>30</v>
      </c>
      <c r="L682" t="s">
        <v>21</v>
      </c>
      <c r="M682" t="s">
        <v>35</v>
      </c>
      <c r="N682">
        <f>sales_data_1[[#This Row],[Unit_Price]]-sales_data_1[[#This Row],[Unit_Cost]]</f>
        <v>485.51000000000022</v>
      </c>
      <c r="O682">
        <f>sales_data_1[[#This Row],[Unit_Price]]*sales_data_1[[#This Row],[Quantity_Sold]]</f>
        <v>60464.88</v>
      </c>
      <c r="P682">
        <f>sales_data_1[[#This Row],[Unit - cost]]*sales_data_1[[#This Row],[Quantity_Sold]]</f>
        <v>5826.1200000000026</v>
      </c>
    </row>
    <row r="683" spans="1:16" x14ac:dyDescent="0.3">
      <c r="A683">
        <v>1036</v>
      </c>
      <c r="B683" s="1">
        <v>44963</v>
      </c>
      <c r="C683" t="s">
        <v>32</v>
      </c>
      <c r="D683" t="s">
        <v>33</v>
      </c>
      <c r="E683">
        <v>26</v>
      </c>
      <c r="F683" t="s">
        <v>34</v>
      </c>
      <c r="G683">
        <v>4266.3599999999997</v>
      </c>
      <c r="H683">
        <v>4331.4299999999994</v>
      </c>
      <c r="I683" t="s">
        <v>16</v>
      </c>
      <c r="J683">
        <v>0.14000000000000001</v>
      </c>
      <c r="K683" t="s">
        <v>30</v>
      </c>
      <c r="L683" t="s">
        <v>21</v>
      </c>
      <c r="M683" t="s">
        <v>35</v>
      </c>
      <c r="N683">
        <f>sales_data_1[[#This Row],[Unit_Price]]-sales_data_1[[#This Row],[Unit_Cost]]</f>
        <v>65.069999999999709</v>
      </c>
      <c r="O683">
        <f>sales_data_1[[#This Row],[Unit_Price]]*sales_data_1[[#This Row],[Quantity_Sold]]</f>
        <v>112617.17999999998</v>
      </c>
      <c r="P683">
        <f>sales_data_1[[#This Row],[Unit - cost]]*sales_data_1[[#This Row],[Quantity_Sold]]</f>
        <v>1691.8199999999924</v>
      </c>
    </row>
    <row r="684" spans="1:16" x14ac:dyDescent="0.3">
      <c r="A684">
        <v>1070</v>
      </c>
      <c r="B684" s="1">
        <v>45242</v>
      </c>
      <c r="C684" t="s">
        <v>13</v>
      </c>
      <c r="D684" t="s">
        <v>24</v>
      </c>
      <c r="E684">
        <v>9</v>
      </c>
      <c r="F684" t="s">
        <v>34</v>
      </c>
      <c r="G684">
        <v>310.24</v>
      </c>
      <c r="H684">
        <v>451.81</v>
      </c>
      <c r="I684" t="s">
        <v>16</v>
      </c>
      <c r="J684">
        <v>0.1</v>
      </c>
      <c r="K684" t="s">
        <v>17</v>
      </c>
      <c r="L684" t="s">
        <v>21</v>
      </c>
      <c r="M684" t="s">
        <v>31</v>
      </c>
      <c r="N684">
        <f>sales_data_1[[#This Row],[Unit_Price]]-sales_data_1[[#This Row],[Unit_Cost]]</f>
        <v>141.57</v>
      </c>
      <c r="O684">
        <f>sales_data_1[[#This Row],[Unit_Price]]*sales_data_1[[#This Row],[Quantity_Sold]]</f>
        <v>4066.29</v>
      </c>
      <c r="P684">
        <f>sales_data_1[[#This Row],[Unit - cost]]*sales_data_1[[#This Row],[Quantity_Sold]]</f>
        <v>1274.1299999999999</v>
      </c>
    </row>
    <row r="685" spans="1:16" x14ac:dyDescent="0.3">
      <c r="A685">
        <v>1031</v>
      </c>
      <c r="B685" s="1">
        <v>45102</v>
      </c>
      <c r="C685" t="s">
        <v>41</v>
      </c>
      <c r="D685" t="s">
        <v>20</v>
      </c>
      <c r="E685">
        <v>10</v>
      </c>
      <c r="F685" t="s">
        <v>34</v>
      </c>
      <c r="G685">
        <v>566.86</v>
      </c>
      <c r="H685">
        <v>818.14</v>
      </c>
      <c r="I685" t="s">
        <v>16</v>
      </c>
      <c r="J685">
        <v>0.25</v>
      </c>
      <c r="K685" t="s">
        <v>30</v>
      </c>
      <c r="L685" t="s">
        <v>21</v>
      </c>
      <c r="M685" t="s">
        <v>50</v>
      </c>
      <c r="N685">
        <f>sales_data_1[[#This Row],[Unit_Price]]-sales_data_1[[#This Row],[Unit_Cost]]</f>
        <v>251.27999999999997</v>
      </c>
      <c r="O685">
        <f>sales_data_1[[#This Row],[Unit_Price]]*sales_data_1[[#This Row],[Quantity_Sold]]</f>
        <v>8181.4</v>
      </c>
      <c r="P685">
        <f>sales_data_1[[#This Row],[Unit - cost]]*sales_data_1[[#This Row],[Quantity_Sold]]</f>
        <v>2512.7999999999997</v>
      </c>
    </row>
    <row r="686" spans="1:16" x14ac:dyDescent="0.3">
      <c r="A686">
        <v>1019</v>
      </c>
      <c r="B686" s="1">
        <v>45210</v>
      </c>
      <c r="C686" t="s">
        <v>37</v>
      </c>
      <c r="D686" t="s">
        <v>24</v>
      </c>
      <c r="E686">
        <v>32</v>
      </c>
      <c r="F686" t="s">
        <v>34</v>
      </c>
      <c r="G686">
        <v>2866.47</v>
      </c>
      <c r="H686">
        <v>3286.47</v>
      </c>
      <c r="I686" t="s">
        <v>29</v>
      </c>
      <c r="J686">
        <v>0.09</v>
      </c>
      <c r="K686" t="s">
        <v>30</v>
      </c>
      <c r="L686" t="s">
        <v>18</v>
      </c>
      <c r="M686" t="s">
        <v>38</v>
      </c>
      <c r="N686">
        <f>sales_data_1[[#This Row],[Unit_Price]]-sales_data_1[[#This Row],[Unit_Cost]]</f>
        <v>420</v>
      </c>
      <c r="O686">
        <f>sales_data_1[[#This Row],[Unit_Price]]*sales_data_1[[#This Row],[Quantity_Sold]]</f>
        <v>105167.03999999999</v>
      </c>
      <c r="P686">
        <f>sales_data_1[[#This Row],[Unit - cost]]*sales_data_1[[#This Row],[Quantity_Sold]]</f>
        <v>13440</v>
      </c>
    </row>
    <row r="687" spans="1:16" x14ac:dyDescent="0.3">
      <c r="A687">
        <v>1061</v>
      </c>
      <c r="B687" s="1">
        <v>45007</v>
      </c>
      <c r="C687" t="s">
        <v>41</v>
      </c>
      <c r="D687" t="s">
        <v>33</v>
      </c>
      <c r="E687">
        <v>34</v>
      </c>
      <c r="F687" t="s">
        <v>28</v>
      </c>
      <c r="G687">
        <v>2680.82</v>
      </c>
      <c r="H687">
        <v>2771.02</v>
      </c>
      <c r="I687" t="s">
        <v>29</v>
      </c>
      <c r="J687">
        <v>0.2</v>
      </c>
      <c r="K687" t="s">
        <v>26</v>
      </c>
      <c r="L687" t="s">
        <v>18</v>
      </c>
      <c r="M687" t="s">
        <v>51</v>
      </c>
      <c r="N687">
        <f>sales_data_1[[#This Row],[Unit_Price]]-sales_data_1[[#This Row],[Unit_Cost]]</f>
        <v>90.199999999999818</v>
      </c>
      <c r="O687">
        <f>sales_data_1[[#This Row],[Unit_Price]]*sales_data_1[[#This Row],[Quantity_Sold]]</f>
        <v>94214.68</v>
      </c>
      <c r="P687">
        <f>sales_data_1[[#This Row],[Unit - cost]]*sales_data_1[[#This Row],[Quantity_Sold]]</f>
        <v>3066.7999999999938</v>
      </c>
    </row>
    <row r="688" spans="1:16" x14ac:dyDescent="0.3">
      <c r="A688">
        <v>1054</v>
      </c>
      <c r="B688" s="1">
        <v>45040</v>
      </c>
      <c r="C688" t="s">
        <v>23</v>
      </c>
      <c r="D688" t="s">
        <v>14</v>
      </c>
      <c r="E688">
        <v>48</v>
      </c>
      <c r="F688" t="s">
        <v>25</v>
      </c>
      <c r="G688">
        <v>2316.92</v>
      </c>
      <c r="H688">
        <v>2462.63</v>
      </c>
      <c r="I688" t="s">
        <v>29</v>
      </c>
      <c r="J688">
        <v>0.04</v>
      </c>
      <c r="K688" t="s">
        <v>30</v>
      </c>
      <c r="L688" t="s">
        <v>18</v>
      </c>
      <c r="M688" t="s">
        <v>44</v>
      </c>
      <c r="N688">
        <f>sales_data_1[[#This Row],[Unit_Price]]-sales_data_1[[#This Row],[Unit_Cost]]</f>
        <v>145.71000000000004</v>
      </c>
      <c r="O688">
        <f>sales_data_1[[#This Row],[Unit_Price]]*sales_data_1[[#This Row],[Quantity_Sold]]</f>
        <v>118206.24</v>
      </c>
      <c r="P688">
        <f>sales_data_1[[#This Row],[Unit - cost]]*sales_data_1[[#This Row],[Quantity_Sold]]</f>
        <v>6994.0800000000017</v>
      </c>
    </row>
    <row r="689" spans="1:16" x14ac:dyDescent="0.3">
      <c r="A689">
        <v>1039</v>
      </c>
      <c r="B689" s="1">
        <v>44966</v>
      </c>
      <c r="C689" t="s">
        <v>23</v>
      </c>
      <c r="D689" t="s">
        <v>24</v>
      </c>
      <c r="E689">
        <v>20</v>
      </c>
      <c r="F689" t="s">
        <v>25</v>
      </c>
      <c r="G689">
        <v>2014.11</v>
      </c>
      <c r="H689">
        <v>2056.35</v>
      </c>
      <c r="I689" t="s">
        <v>16</v>
      </c>
      <c r="J689">
        <v>0.21</v>
      </c>
      <c r="K689" t="s">
        <v>26</v>
      </c>
      <c r="L689" t="s">
        <v>21</v>
      </c>
      <c r="M689" t="s">
        <v>27</v>
      </c>
      <c r="N689">
        <f>sales_data_1[[#This Row],[Unit_Price]]-sales_data_1[[#This Row],[Unit_Cost]]</f>
        <v>42.240000000000009</v>
      </c>
      <c r="O689">
        <f>sales_data_1[[#This Row],[Unit_Price]]*sales_data_1[[#This Row],[Quantity_Sold]]</f>
        <v>41127</v>
      </c>
      <c r="P689">
        <f>sales_data_1[[#This Row],[Unit - cost]]*sales_data_1[[#This Row],[Quantity_Sold]]</f>
        <v>844.80000000000018</v>
      </c>
    </row>
    <row r="690" spans="1:16" x14ac:dyDescent="0.3">
      <c r="A690">
        <v>1091</v>
      </c>
      <c r="B690" s="1">
        <v>45227</v>
      </c>
      <c r="C690" t="s">
        <v>13</v>
      </c>
      <c r="D690" t="s">
        <v>20</v>
      </c>
      <c r="E690">
        <v>39</v>
      </c>
      <c r="F690" t="s">
        <v>15</v>
      </c>
      <c r="G690">
        <v>2184.4899999999998</v>
      </c>
      <c r="H690">
        <v>2540.4199999999996</v>
      </c>
      <c r="I690" t="s">
        <v>16</v>
      </c>
      <c r="J690">
        <v>0.27</v>
      </c>
      <c r="K690" t="s">
        <v>26</v>
      </c>
      <c r="L690" t="s">
        <v>18</v>
      </c>
      <c r="M690" t="s">
        <v>22</v>
      </c>
      <c r="N690">
        <f>sales_data_1[[#This Row],[Unit_Price]]-sales_data_1[[#This Row],[Unit_Cost]]</f>
        <v>355.92999999999984</v>
      </c>
      <c r="O690">
        <f>sales_data_1[[#This Row],[Unit_Price]]*sales_data_1[[#This Row],[Quantity_Sold]]</f>
        <v>99076.37999999999</v>
      </c>
      <c r="P690">
        <f>sales_data_1[[#This Row],[Unit - cost]]*sales_data_1[[#This Row],[Quantity_Sold]]</f>
        <v>13881.269999999993</v>
      </c>
    </row>
    <row r="691" spans="1:16" x14ac:dyDescent="0.3">
      <c r="A691">
        <v>1074</v>
      </c>
      <c r="B691" s="1">
        <v>45150</v>
      </c>
      <c r="C691" t="s">
        <v>13</v>
      </c>
      <c r="D691" t="s">
        <v>33</v>
      </c>
      <c r="E691">
        <v>2</v>
      </c>
      <c r="F691" t="s">
        <v>25</v>
      </c>
      <c r="G691">
        <v>2868.02</v>
      </c>
      <c r="H691">
        <v>2994.74</v>
      </c>
      <c r="I691" t="s">
        <v>16</v>
      </c>
      <c r="J691">
        <v>0.18</v>
      </c>
      <c r="K691" t="s">
        <v>26</v>
      </c>
      <c r="L691" t="s">
        <v>18</v>
      </c>
      <c r="M691" t="s">
        <v>45</v>
      </c>
      <c r="N691">
        <f>sales_data_1[[#This Row],[Unit_Price]]-sales_data_1[[#This Row],[Unit_Cost]]</f>
        <v>126.7199999999998</v>
      </c>
      <c r="O691">
        <f>sales_data_1[[#This Row],[Unit_Price]]*sales_data_1[[#This Row],[Quantity_Sold]]</f>
        <v>5989.48</v>
      </c>
      <c r="P691">
        <f>sales_data_1[[#This Row],[Unit - cost]]*sales_data_1[[#This Row],[Quantity_Sold]]</f>
        <v>253.4399999999996</v>
      </c>
    </row>
    <row r="692" spans="1:16" x14ac:dyDescent="0.3">
      <c r="A692">
        <v>1090</v>
      </c>
      <c r="B692" s="1">
        <v>45244</v>
      </c>
      <c r="C692" t="s">
        <v>13</v>
      </c>
      <c r="D692" t="s">
        <v>33</v>
      </c>
      <c r="E692">
        <v>1</v>
      </c>
      <c r="F692" t="s">
        <v>28</v>
      </c>
      <c r="G692">
        <v>60.28</v>
      </c>
      <c r="H692">
        <v>260.73</v>
      </c>
      <c r="I692" t="s">
        <v>16</v>
      </c>
      <c r="J692">
        <v>0.17</v>
      </c>
      <c r="K692" t="s">
        <v>17</v>
      </c>
      <c r="L692" t="s">
        <v>18</v>
      </c>
      <c r="M692" t="s">
        <v>45</v>
      </c>
      <c r="N692">
        <f>sales_data_1[[#This Row],[Unit_Price]]-sales_data_1[[#This Row],[Unit_Cost]]</f>
        <v>200.45000000000002</v>
      </c>
      <c r="O692">
        <f>sales_data_1[[#This Row],[Unit_Price]]*sales_data_1[[#This Row],[Quantity_Sold]]</f>
        <v>260.73</v>
      </c>
      <c r="P692">
        <f>sales_data_1[[#This Row],[Unit - cost]]*sales_data_1[[#This Row],[Quantity_Sold]]</f>
        <v>200.45000000000002</v>
      </c>
    </row>
    <row r="693" spans="1:16" x14ac:dyDescent="0.3">
      <c r="A693">
        <v>1019</v>
      </c>
      <c r="B693" s="1">
        <v>45275</v>
      </c>
      <c r="C693" t="s">
        <v>23</v>
      </c>
      <c r="D693" t="s">
        <v>33</v>
      </c>
      <c r="E693">
        <v>36</v>
      </c>
      <c r="F693" t="s">
        <v>28</v>
      </c>
      <c r="G693">
        <v>1340.51</v>
      </c>
      <c r="H693">
        <v>1567.92</v>
      </c>
      <c r="I693" t="s">
        <v>29</v>
      </c>
      <c r="J693">
        <v>0.28999999999999998</v>
      </c>
      <c r="K693" t="s">
        <v>17</v>
      </c>
      <c r="L693" t="s">
        <v>18</v>
      </c>
      <c r="M693" t="s">
        <v>49</v>
      </c>
      <c r="N693">
        <f>sales_data_1[[#This Row],[Unit_Price]]-sales_data_1[[#This Row],[Unit_Cost]]</f>
        <v>227.41000000000008</v>
      </c>
      <c r="O693">
        <f>sales_data_1[[#This Row],[Unit_Price]]*sales_data_1[[#This Row],[Quantity_Sold]]</f>
        <v>56445.120000000003</v>
      </c>
      <c r="P693">
        <f>sales_data_1[[#This Row],[Unit - cost]]*sales_data_1[[#This Row],[Quantity_Sold]]</f>
        <v>8186.7600000000029</v>
      </c>
    </row>
    <row r="694" spans="1:16" x14ac:dyDescent="0.3">
      <c r="A694">
        <v>1039</v>
      </c>
      <c r="B694" s="1">
        <v>45041</v>
      </c>
      <c r="C694" t="s">
        <v>41</v>
      </c>
      <c r="D694" t="s">
        <v>33</v>
      </c>
      <c r="E694">
        <v>24</v>
      </c>
      <c r="F694" t="s">
        <v>28</v>
      </c>
      <c r="G694">
        <v>2615.48</v>
      </c>
      <c r="H694">
        <v>3062.2200000000003</v>
      </c>
      <c r="I694" t="s">
        <v>29</v>
      </c>
      <c r="J694">
        <v>0.19</v>
      </c>
      <c r="K694" t="s">
        <v>26</v>
      </c>
      <c r="L694" t="s">
        <v>21</v>
      </c>
      <c r="M694" t="s">
        <v>51</v>
      </c>
      <c r="N694">
        <f>sales_data_1[[#This Row],[Unit_Price]]-sales_data_1[[#This Row],[Unit_Cost]]</f>
        <v>446.74000000000024</v>
      </c>
      <c r="O694">
        <f>sales_data_1[[#This Row],[Unit_Price]]*sales_data_1[[#This Row],[Quantity_Sold]]</f>
        <v>73493.279999999999</v>
      </c>
      <c r="P694">
        <f>sales_data_1[[#This Row],[Unit - cost]]*sales_data_1[[#This Row],[Quantity_Sold]]</f>
        <v>10721.760000000006</v>
      </c>
    </row>
    <row r="695" spans="1:16" x14ac:dyDescent="0.3">
      <c r="A695">
        <v>1067</v>
      </c>
      <c r="B695" s="1">
        <v>45112</v>
      </c>
      <c r="C695" t="s">
        <v>41</v>
      </c>
      <c r="D695" t="s">
        <v>20</v>
      </c>
      <c r="E695">
        <v>27</v>
      </c>
      <c r="F695" t="s">
        <v>15</v>
      </c>
      <c r="G695">
        <v>3624.97</v>
      </c>
      <c r="H695">
        <v>3836.52</v>
      </c>
      <c r="I695" t="s">
        <v>29</v>
      </c>
      <c r="J695">
        <v>0.08</v>
      </c>
      <c r="K695" t="s">
        <v>17</v>
      </c>
      <c r="L695" t="s">
        <v>18</v>
      </c>
      <c r="M695" t="s">
        <v>50</v>
      </c>
      <c r="N695">
        <f>sales_data_1[[#This Row],[Unit_Price]]-sales_data_1[[#This Row],[Unit_Cost]]</f>
        <v>211.55000000000018</v>
      </c>
      <c r="O695">
        <f>sales_data_1[[#This Row],[Unit_Price]]*sales_data_1[[#This Row],[Quantity_Sold]]</f>
        <v>103586.04</v>
      </c>
      <c r="P695">
        <f>sales_data_1[[#This Row],[Unit - cost]]*sales_data_1[[#This Row],[Quantity_Sold]]</f>
        <v>5711.8500000000049</v>
      </c>
    </row>
    <row r="696" spans="1:16" x14ac:dyDescent="0.3">
      <c r="A696">
        <v>1045</v>
      </c>
      <c r="B696" s="1">
        <v>45249</v>
      </c>
      <c r="C696" t="s">
        <v>13</v>
      </c>
      <c r="D696" t="s">
        <v>14</v>
      </c>
      <c r="E696">
        <v>2</v>
      </c>
      <c r="F696" t="s">
        <v>34</v>
      </c>
      <c r="G696">
        <v>912.08</v>
      </c>
      <c r="H696">
        <v>993.24</v>
      </c>
      <c r="I696" t="s">
        <v>16</v>
      </c>
      <c r="J696">
        <v>0.09</v>
      </c>
      <c r="K696" t="s">
        <v>30</v>
      </c>
      <c r="L696" t="s">
        <v>18</v>
      </c>
      <c r="M696" t="s">
        <v>19</v>
      </c>
      <c r="N696">
        <f>sales_data_1[[#This Row],[Unit_Price]]-sales_data_1[[#This Row],[Unit_Cost]]</f>
        <v>81.159999999999968</v>
      </c>
      <c r="O696">
        <f>sales_data_1[[#This Row],[Unit_Price]]*sales_data_1[[#This Row],[Quantity_Sold]]</f>
        <v>1986.48</v>
      </c>
      <c r="P696">
        <f>sales_data_1[[#This Row],[Unit - cost]]*sales_data_1[[#This Row],[Quantity_Sold]]</f>
        <v>162.31999999999994</v>
      </c>
    </row>
    <row r="697" spans="1:16" x14ac:dyDescent="0.3">
      <c r="A697">
        <v>1013</v>
      </c>
      <c r="B697" s="1">
        <v>44982</v>
      </c>
      <c r="C697" t="s">
        <v>37</v>
      </c>
      <c r="D697" t="s">
        <v>33</v>
      </c>
      <c r="E697">
        <v>31</v>
      </c>
      <c r="F697" t="s">
        <v>25</v>
      </c>
      <c r="G697">
        <v>2757.06</v>
      </c>
      <c r="H697">
        <v>3023.97</v>
      </c>
      <c r="I697" t="s">
        <v>16</v>
      </c>
      <c r="J697">
        <v>0.21</v>
      </c>
      <c r="K697" t="s">
        <v>17</v>
      </c>
      <c r="L697" t="s">
        <v>18</v>
      </c>
      <c r="M697" t="s">
        <v>47</v>
      </c>
      <c r="N697">
        <f>sales_data_1[[#This Row],[Unit_Price]]-sales_data_1[[#This Row],[Unit_Cost]]</f>
        <v>266.90999999999985</v>
      </c>
      <c r="O697">
        <f>sales_data_1[[#This Row],[Unit_Price]]*sales_data_1[[#This Row],[Quantity_Sold]]</f>
        <v>93743.069999999992</v>
      </c>
      <c r="P697">
        <f>sales_data_1[[#This Row],[Unit - cost]]*sales_data_1[[#This Row],[Quantity_Sold]]</f>
        <v>8274.2099999999955</v>
      </c>
    </row>
    <row r="698" spans="1:16" x14ac:dyDescent="0.3">
      <c r="A698">
        <v>1092</v>
      </c>
      <c r="B698" s="1">
        <v>44966</v>
      </c>
      <c r="C698" t="s">
        <v>41</v>
      </c>
      <c r="D698" t="s">
        <v>24</v>
      </c>
      <c r="E698">
        <v>14</v>
      </c>
      <c r="F698" t="s">
        <v>28</v>
      </c>
      <c r="G698">
        <v>3586.58</v>
      </c>
      <c r="H698">
        <v>4068.43</v>
      </c>
      <c r="I698" t="s">
        <v>29</v>
      </c>
      <c r="J698">
        <v>0.22</v>
      </c>
      <c r="K698" t="s">
        <v>30</v>
      </c>
      <c r="L698" t="s">
        <v>18</v>
      </c>
      <c r="M698" t="s">
        <v>42</v>
      </c>
      <c r="N698">
        <f>sales_data_1[[#This Row],[Unit_Price]]-sales_data_1[[#This Row],[Unit_Cost]]</f>
        <v>481.84999999999991</v>
      </c>
      <c r="O698">
        <f>sales_data_1[[#This Row],[Unit_Price]]*sales_data_1[[#This Row],[Quantity_Sold]]</f>
        <v>56958.02</v>
      </c>
      <c r="P698">
        <f>sales_data_1[[#This Row],[Unit - cost]]*sales_data_1[[#This Row],[Quantity_Sold]]</f>
        <v>6745.8999999999987</v>
      </c>
    </row>
    <row r="699" spans="1:16" x14ac:dyDescent="0.3">
      <c r="A699">
        <v>1058</v>
      </c>
      <c r="B699" s="1">
        <v>45280</v>
      </c>
      <c r="C699" t="s">
        <v>23</v>
      </c>
      <c r="D699" t="s">
        <v>14</v>
      </c>
      <c r="E699">
        <v>2</v>
      </c>
      <c r="F699" t="s">
        <v>28</v>
      </c>
      <c r="G699">
        <v>2250.91</v>
      </c>
      <c r="H699">
        <v>2558.6799999999998</v>
      </c>
      <c r="I699" t="s">
        <v>29</v>
      </c>
      <c r="J699">
        <v>0.09</v>
      </c>
      <c r="K699" t="s">
        <v>30</v>
      </c>
      <c r="L699" t="s">
        <v>21</v>
      </c>
      <c r="M699" t="s">
        <v>44</v>
      </c>
      <c r="N699">
        <f>sales_data_1[[#This Row],[Unit_Price]]-sales_data_1[[#This Row],[Unit_Cost]]</f>
        <v>307.77</v>
      </c>
      <c r="O699">
        <f>sales_data_1[[#This Row],[Unit_Price]]*sales_data_1[[#This Row],[Quantity_Sold]]</f>
        <v>5117.3599999999997</v>
      </c>
      <c r="P699">
        <f>sales_data_1[[#This Row],[Unit - cost]]*sales_data_1[[#This Row],[Quantity_Sold]]</f>
        <v>615.54</v>
      </c>
    </row>
    <row r="700" spans="1:16" x14ac:dyDescent="0.3">
      <c r="A700">
        <v>1020</v>
      </c>
      <c r="B700" s="1">
        <v>44966</v>
      </c>
      <c r="C700" t="s">
        <v>32</v>
      </c>
      <c r="D700" t="s">
        <v>33</v>
      </c>
      <c r="E700">
        <v>29</v>
      </c>
      <c r="F700" t="s">
        <v>34</v>
      </c>
      <c r="G700">
        <v>184.05</v>
      </c>
      <c r="H700">
        <v>675.91000000000008</v>
      </c>
      <c r="I700" t="s">
        <v>16</v>
      </c>
      <c r="J700">
        <v>0.1</v>
      </c>
      <c r="K700" t="s">
        <v>17</v>
      </c>
      <c r="L700" t="s">
        <v>21</v>
      </c>
      <c r="M700" t="s">
        <v>35</v>
      </c>
      <c r="N700">
        <f>sales_data_1[[#This Row],[Unit_Price]]-sales_data_1[[#This Row],[Unit_Cost]]</f>
        <v>491.86000000000007</v>
      </c>
      <c r="O700">
        <f>sales_data_1[[#This Row],[Unit_Price]]*sales_data_1[[#This Row],[Quantity_Sold]]</f>
        <v>19601.390000000003</v>
      </c>
      <c r="P700">
        <f>sales_data_1[[#This Row],[Unit - cost]]*sales_data_1[[#This Row],[Quantity_Sold]]</f>
        <v>14263.940000000002</v>
      </c>
    </row>
    <row r="701" spans="1:16" x14ac:dyDescent="0.3">
      <c r="A701">
        <v>1092</v>
      </c>
      <c r="B701" s="1">
        <v>45273</v>
      </c>
      <c r="C701" t="s">
        <v>32</v>
      </c>
      <c r="D701" t="s">
        <v>14</v>
      </c>
      <c r="E701">
        <v>15</v>
      </c>
      <c r="F701" t="s">
        <v>28</v>
      </c>
      <c r="G701">
        <v>2273.88</v>
      </c>
      <c r="H701">
        <v>2696.02</v>
      </c>
      <c r="I701" t="s">
        <v>29</v>
      </c>
      <c r="J701">
        <v>0.3</v>
      </c>
      <c r="K701" t="s">
        <v>17</v>
      </c>
      <c r="L701" t="s">
        <v>18</v>
      </c>
      <c r="M701" t="s">
        <v>52</v>
      </c>
      <c r="N701">
        <f>sales_data_1[[#This Row],[Unit_Price]]-sales_data_1[[#This Row],[Unit_Cost]]</f>
        <v>422.13999999999987</v>
      </c>
      <c r="O701">
        <f>sales_data_1[[#This Row],[Unit_Price]]*sales_data_1[[#This Row],[Quantity_Sold]]</f>
        <v>40440.300000000003</v>
      </c>
      <c r="P701">
        <f>sales_data_1[[#This Row],[Unit - cost]]*sales_data_1[[#This Row],[Quantity_Sold]]</f>
        <v>6332.0999999999985</v>
      </c>
    </row>
    <row r="702" spans="1:16" x14ac:dyDescent="0.3">
      <c r="A702">
        <v>1072</v>
      </c>
      <c r="B702" s="1">
        <v>45163</v>
      </c>
      <c r="C702" t="s">
        <v>32</v>
      </c>
      <c r="D702" t="s">
        <v>24</v>
      </c>
      <c r="E702">
        <v>12</v>
      </c>
      <c r="F702" t="s">
        <v>25</v>
      </c>
      <c r="G702">
        <v>1517.4</v>
      </c>
      <c r="H702">
        <v>1545.02</v>
      </c>
      <c r="I702" t="s">
        <v>29</v>
      </c>
      <c r="J702">
        <v>0.03</v>
      </c>
      <c r="K702" t="s">
        <v>26</v>
      </c>
      <c r="L702" t="s">
        <v>21</v>
      </c>
      <c r="M702" t="s">
        <v>43</v>
      </c>
      <c r="N702">
        <f>sales_data_1[[#This Row],[Unit_Price]]-sales_data_1[[#This Row],[Unit_Cost]]</f>
        <v>27.619999999999891</v>
      </c>
      <c r="O702">
        <f>sales_data_1[[#This Row],[Unit_Price]]*sales_data_1[[#This Row],[Quantity_Sold]]</f>
        <v>18540.239999999998</v>
      </c>
      <c r="P702">
        <f>sales_data_1[[#This Row],[Unit - cost]]*sales_data_1[[#This Row],[Quantity_Sold]]</f>
        <v>331.43999999999869</v>
      </c>
    </row>
    <row r="703" spans="1:16" x14ac:dyDescent="0.3">
      <c r="A703">
        <v>1061</v>
      </c>
      <c r="B703" s="1">
        <v>45215</v>
      </c>
      <c r="C703" t="s">
        <v>37</v>
      </c>
      <c r="D703" t="s">
        <v>33</v>
      </c>
      <c r="E703">
        <v>37</v>
      </c>
      <c r="F703" t="s">
        <v>15</v>
      </c>
      <c r="G703">
        <v>4651.7700000000004</v>
      </c>
      <c r="H703">
        <v>4984.3900000000003</v>
      </c>
      <c r="I703" t="s">
        <v>16</v>
      </c>
      <c r="J703">
        <v>0.12</v>
      </c>
      <c r="K703" t="s">
        <v>17</v>
      </c>
      <c r="L703" t="s">
        <v>21</v>
      </c>
      <c r="M703" t="s">
        <v>47</v>
      </c>
      <c r="N703">
        <f>sales_data_1[[#This Row],[Unit_Price]]-sales_data_1[[#This Row],[Unit_Cost]]</f>
        <v>332.61999999999989</v>
      </c>
      <c r="O703">
        <f>sales_data_1[[#This Row],[Unit_Price]]*sales_data_1[[#This Row],[Quantity_Sold]]</f>
        <v>184422.43000000002</v>
      </c>
      <c r="P703">
        <f>sales_data_1[[#This Row],[Unit - cost]]*sales_data_1[[#This Row],[Quantity_Sold]]</f>
        <v>12306.939999999995</v>
      </c>
    </row>
    <row r="704" spans="1:16" x14ac:dyDescent="0.3">
      <c r="A704">
        <v>1039</v>
      </c>
      <c r="B704" s="1">
        <v>45188</v>
      </c>
      <c r="C704" t="s">
        <v>13</v>
      </c>
      <c r="D704" t="s">
        <v>24</v>
      </c>
      <c r="E704">
        <v>28</v>
      </c>
      <c r="F704" t="s">
        <v>28</v>
      </c>
      <c r="G704">
        <v>666.84</v>
      </c>
      <c r="H704">
        <v>817.36</v>
      </c>
      <c r="I704" t="s">
        <v>16</v>
      </c>
      <c r="J704">
        <v>0.02</v>
      </c>
      <c r="K704" t="s">
        <v>17</v>
      </c>
      <c r="L704" t="s">
        <v>21</v>
      </c>
      <c r="M704" t="s">
        <v>31</v>
      </c>
      <c r="N704">
        <f>sales_data_1[[#This Row],[Unit_Price]]-sales_data_1[[#This Row],[Unit_Cost]]</f>
        <v>150.51999999999998</v>
      </c>
      <c r="O704">
        <f>sales_data_1[[#This Row],[Unit_Price]]*sales_data_1[[#This Row],[Quantity_Sold]]</f>
        <v>22886.080000000002</v>
      </c>
      <c r="P704">
        <f>sales_data_1[[#This Row],[Unit - cost]]*sales_data_1[[#This Row],[Quantity_Sold]]</f>
        <v>4214.5599999999995</v>
      </c>
    </row>
    <row r="705" spans="1:16" x14ac:dyDescent="0.3">
      <c r="A705">
        <v>1001</v>
      </c>
      <c r="B705" s="1">
        <v>45142</v>
      </c>
      <c r="C705" t="s">
        <v>23</v>
      </c>
      <c r="D705" t="s">
        <v>20</v>
      </c>
      <c r="E705">
        <v>20</v>
      </c>
      <c r="F705" t="s">
        <v>25</v>
      </c>
      <c r="G705">
        <v>3279.76</v>
      </c>
      <c r="H705">
        <v>3563.9700000000003</v>
      </c>
      <c r="I705" t="s">
        <v>16</v>
      </c>
      <c r="J705">
        <v>0.25</v>
      </c>
      <c r="K705" t="s">
        <v>17</v>
      </c>
      <c r="L705" t="s">
        <v>21</v>
      </c>
      <c r="M705" t="s">
        <v>46</v>
      </c>
      <c r="N705">
        <f>sales_data_1[[#This Row],[Unit_Price]]-sales_data_1[[#This Row],[Unit_Cost]]</f>
        <v>284.21000000000004</v>
      </c>
      <c r="O705">
        <f>sales_data_1[[#This Row],[Unit_Price]]*sales_data_1[[#This Row],[Quantity_Sold]]</f>
        <v>71279.400000000009</v>
      </c>
      <c r="P705">
        <f>sales_data_1[[#This Row],[Unit - cost]]*sales_data_1[[#This Row],[Quantity_Sold]]</f>
        <v>5684.2000000000007</v>
      </c>
    </row>
    <row r="706" spans="1:16" x14ac:dyDescent="0.3">
      <c r="A706">
        <v>1003</v>
      </c>
      <c r="B706" s="1">
        <v>45073</v>
      </c>
      <c r="C706" t="s">
        <v>37</v>
      </c>
      <c r="D706" t="s">
        <v>33</v>
      </c>
      <c r="E706">
        <v>39</v>
      </c>
      <c r="F706" t="s">
        <v>28</v>
      </c>
      <c r="G706">
        <v>310.95999999999998</v>
      </c>
      <c r="H706">
        <v>457.84</v>
      </c>
      <c r="I706" t="s">
        <v>29</v>
      </c>
      <c r="J706">
        <v>0.03</v>
      </c>
      <c r="K706" t="s">
        <v>30</v>
      </c>
      <c r="L706" t="s">
        <v>18</v>
      </c>
      <c r="M706" t="s">
        <v>47</v>
      </c>
      <c r="N706">
        <f>sales_data_1[[#This Row],[Unit_Price]]-sales_data_1[[#This Row],[Unit_Cost]]</f>
        <v>146.88</v>
      </c>
      <c r="O706">
        <f>sales_data_1[[#This Row],[Unit_Price]]*sales_data_1[[#This Row],[Quantity_Sold]]</f>
        <v>17855.759999999998</v>
      </c>
      <c r="P706">
        <f>sales_data_1[[#This Row],[Unit - cost]]*sales_data_1[[#This Row],[Quantity_Sold]]</f>
        <v>5728.32</v>
      </c>
    </row>
    <row r="707" spans="1:16" x14ac:dyDescent="0.3">
      <c r="A707">
        <v>1077</v>
      </c>
      <c r="B707" s="1">
        <v>45262</v>
      </c>
      <c r="C707" t="s">
        <v>23</v>
      </c>
      <c r="D707" t="s">
        <v>33</v>
      </c>
      <c r="E707">
        <v>24</v>
      </c>
      <c r="F707" t="s">
        <v>34</v>
      </c>
      <c r="G707">
        <v>2258.54</v>
      </c>
      <c r="H707">
        <v>2439.4899999999998</v>
      </c>
      <c r="I707" t="s">
        <v>16</v>
      </c>
      <c r="J707">
        <v>0.2</v>
      </c>
      <c r="K707" t="s">
        <v>30</v>
      </c>
      <c r="L707" t="s">
        <v>21</v>
      </c>
      <c r="M707" t="s">
        <v>49</v>
      </c>
      <c r="N707">
        <f>sales_data_1[[#This Row],[Unit_Price]]-sales_data_1[[#This Row],[Unit_Cost]]</f>
        <v>180.94999999999982</v>
      </c>
      <c r="O707">
        <f>sales_data_1[[#This Row],[Unit_Price]]*sales_data_1[[#This Row],[Quantity_Sold]]</f>
        <v>58547.759999999995</v>
      </c>
      <c r="P707">
        <f>sales_data_1[[#This Row],[Unit - cost]]*sales_data_1[[#This Row],[Quantity_Sold]]</f>
        <v>4342.7999999999956</v>
      </c>
    </row>
    <row r="708" spans="1:16" x14ac:dyDescent="0.3">
      <c r="A708">
        <v>1092</v>
      </c>
      <c r="B708" s="1">
        <v>45094</v>
      </c>
      <c r="C708" t="s">
        <v>23</v>
      </c>
      <c r="D708" t="s">
        <v>33</v>
      </c>
      <c r="E708">
        <v>21</v>
      </c>
      <c r="F708" t="s">
        <v>28</v>
      </c>
      <c r="G708">
        <v>2792.2</v>
      </c>
      <c r="H708">
        <v>3254.5499999999997</v>
      </c>
      <c r="I708" t="s">
        <v>29</v>
      </c>
      <c r="J708">
        <v>0.02</v>
      </c>
      <c r="K708" t="s">
        <v>30</v>
      </c>
      <c r="L708" t="s">
        <v>21</v>
      </c>
      <c r="M708" t="s">
        <v>49</v>
      </c>
      <c r="N708">
        <f>sales_data_1[[#This Row],[Unit_Price]]-sales_data_1[[#This Row],[Unit_Cost]]</f>
        <v>462.34999999999991</v>
      </c>
      <c r="O708">
        <f>sales_data_1[[#This Row],[Unit_Price]]*sales_data_1[[#This Row],[Quantity_Sold]]</f>
        <v>68345.549999999988</v>
      </c>
      <c r="P708">
        <f>sales_data_1[[#This Row],[Unit - cost]]*sales_data_1[[#This Row],[Quantity_Sold]]</f>
        <v>9709.3499999999985</v>
      </c>
    </row>
    <row r="709" spans="1:16" x14ac:dyDescent="0.3">
      <c r="A709">
        <v>1062</v>
      </c>
      <c r="B709" s="1">
        <v>45018</v>
      </c>
      <c r="C709" t="s">
        <v>13</v>
      </c>
      <c r="D709" t="s">
        <v>33</v>
      </c>
      <c r="E709">
        <v>10</v>
      </c>
      <c r="F709" t="s">
        <v>28</v>
      </c>
      <c r="G709">
        <v>1524.88</v>
      </c>
      <c r="H709">
        <v>1636.14</v>
      </c>
      <c r="I709" t="s">
        <v>29</v>
      </c>
      <c r="J709">
        <v>0.2</v>
      </c>
      <c r="K709" t="s">
        <v>26</v>
      </c>
      <c r="L709" t="s">
        <v>18</v>
      </c>
      <c r="M709" t="s">
        <v>45</v>
      </c>
      <c r="N709">
        <f>sales_data_1[[#This Row],[Unit_Price]]-sales_data_1[[#This Row],[Unit_Cost]]</f>
        <v>111.25999999999999</v>
      </c>
      <c r="O709">
        <f>sales_data_1[[#This Row],[Unit_Price]]*sales_data_1[[#This Row],[Quantity_Sold]]</f>
        <v>16361.400000000001</v>
      </c>
      <c r="P709">
        <f>sales_data_1[[#This Row],[Unit - cost]]*sales_data_1[[#This Row],[Quantity_Sold]]</f>
        <v>1112.5999999999999</v>
      </c>
    </row>
    <row r="710" spans="1:16" x14ac:dyDescent="0.3">
      <c r="A710">
        <v>1063</v>
      </c>
      <c r="B710" s="1">
        <v>45279</v>
      </c>
      <c r="C710" t="s">
        <v>32</v>
      </c>
      <c r="D710" t="s">
        <v>20</v>
      </c>
      <c r="E710">
        <v>46</v>
      </c>
      <c r="F710" t="s">
        <v>15</v>
      </c>
      <c r="G710">
        <v>2302.62</v>
      </c>
      <c r="H710">
        <v>2740.93</v>
      </c>
      <c r="I710" t="s">
        <v>16</v>
      </c>
      <c r="J710">
        <v>0.25</v>
      </c>
      <c r="K710" t="s">
        <v>26</v>
      </c>
      <c r="L710" t="s">
        <v>18</v>
      </c>
      <c r="M710" t="s">
        <v>36</v>
      </c>
      <c r="N710">
        <f>sales_data_1[[#This Row],[Unit_Price]]-sales_data_1[[#This Row],[Unit_Cost]]</f>
        <v>438.30999999999995</v>
      </c>
      <c r="O710">
        <f>sales_data_1[[#This Row],[Unit_Price]]*sales_data_1[[#This Row],[Quantity_Sold]]</f>
        <v>126082.78</v>
      </c>
      <c r="P710">
        <f>sales_data_1[[#This Row],[Unit - cost]]*sales_data_1[[#This Row],[Quantity_Sold]]</f>
        <v>20162.259999999998</v>
      </c>
    </row>
    <row r="711" spans="1:16" x14ac:dyDescent="0.3">
      <c r="A711">
        <v>1025</v>
      </c>
      <c r="B711" s="1">
        <v>44985</v>
      </c>
      <c r="C711" t="s">
        <v>13</v>
      </c>
      <c r="D711" t="s">
        <v>33</v>
      </c>
      <c r="E711">
        <v>14</v>
      </c>
      <c r="F711" t="s">
        <v>34</v>
      </c>
      <c r="G711">
        <v>859.59</v>
      </c>
      <c r="H711">
        <v>884.51</v>
      </c>
      <c r="I711" t="s">
        <v>29</v>
      </c>
      <c r="J711">
        <v>0.12</v>
      </c>
      <c r="K711" t="s">
        <v>26</v>
      </c>
      <c r="L711" t="s">
        <v>18</v>
      </c>
      <c r="M711" t="s">
        <v>45</v>
      </c>
      <c r="N711">
        <f>sales_data_1[[#This Row],[Unit_Price]]-sales_data_1[[#This Row],[Unit_Cost]]</f>
        <v>24.919999999999959</v>
      </c>
      <c r="O711">
        <f>sales_data_1[[#This Row],[Unit_Price]]*sales_data_1[[#This Row],[Quantity_Sold]]</f>
        <v>12383.14</v>
      </c>
      <c r="P711">
        <f>sales_data_1[[#This Row],[Unit - cost]]*sales_data_1[[#This Row],[Quantity_Sold]]</f>
        <v>348.87999999999943</v>
      </c>
    </row>
    <row r="712" spans="1:16" x14ac:dyDescent="0.3">
      <c r="A712">
        <v>1056</v>
      </c>
      <c r="B712" s="1">
        <v>44985</v>
      </c>
      <c r="C712" t="s">
        <v>37</v>
      </c>
      <c r="D712" t="s">
        <v>14</v>
      </c>
      <c r="E712">
        <v>37</v>
      </c>
      <c r="F712" t="s">
        <v>34</v>
      </c>
      <c r="G712">
        <v>1555.41</v>
      </c>
      <c r="H712">
        <v>1609.94</v>
      </c>
      <c r="I712" t="s">
        <v>16</v>
      </c>
      <c r="J712">
        <v>0.16</v>
      </c>
      <c r="K712" t="s">
        <v>30</v>
      </c>
      <c r="L712" t="s">
        <v>18</v>
      </c>
      <c r="M712" t="s">
        <v>39</v>
      </c>
      <c r="N712">
        <f>sales_data_1[[#This Row],[Unit_Price]]-sales_data_1[[#This Row],[Unit_Cost]]</f>
        <v>54.529999999999973</v>
      </c>
      <c r="O712">
        <f>sales_data_1[[#This Row],[Unit_Price]]*sales_data_1[[#This Row],[Quantity_Sold]]</f>
        <v>59567.78</v>
      </c>
      <c r="P712">
        <f>sales_data_1[[#This Row],[Unit - cost]]*sales_data_1[[#This Row],[Quantity_Sold]]</f>
        <v>2017.609999999999</v>
      </c>
    </row>
    <row r="713" spans="1:16" x14ac:dyDescent="0.3">
      <c r="A713">
        <v>1033</v>
      </c>
      <c r="B713" s="1">
        <v>45230</v>
      </c>
      <c r="C713" t="s">
        <v>37</v>
      </c>
      <c r="D713" t="s">
        <v>33</v>
      </c>
      <c r="E713">
        <v>18</v>
      </c>
      <c r="F713" t="s">
        <v>15</v>
      </c>
      <c r="G713">
        <v>3124.48</v>
      </c>
      <c r="H713">
        <v>3553.27</v>
      </c>
      <c r="I713" t="s">
        <v>16</v>
      </c>
      <c r="J713">
        <v>0.12</v>
      </c>
      <c r="K713" t="s">
        <v>17</v>
      </c>
      <c r="L713" t="s">
        <v>21</v>
      </c>
      <c r="M713" t="s">
        <v>47</v>
      </c>
      <c r="N713">
        <f>sales_data_1[[#This Row],[Unit_Price]]-sales_data_1[[#This Row],[Unit_Cost]]</f>
        <v>428.78999999999996</v>
      </c>
      <c r="O713">
        <f>sales_data_1[[#This Row],[Unit_Price]]*sales_data_1[[#This Row],[Quantity_Sold]]</f>
        <v>63958.86</v>
      </c>
      <c r="P713">
        <f>sales_data_1[[#This Row],[Unit - cost]]*sales_data_1[[#This Row],[Quantity_Sold]]</f>
        <v>7718.2199999999993</v>
      </c>
    </row>
    <row r="714" spans="1:16" x14ac:dyDescent="0.3">
      <c r="A714">
        <v>1038</v>
      </c>
      <c r="B714" s="1">
        <v>45095</v>
      </c>
      <c r="C714" t="s">
        <v>37</v>
      </c>
      <c r="D714" t="s">
        <v>20</v>
      </c>
      <c r="E714">
        <v>24</v>
      </c>
      <c r="F714" t="s">
        <v>28</v>
      </c>
      <c r="G714">
        <v>1543.91</v>
      </c>
      <c r="H714">
        <v>1862.88</v>
      </c>
      <c r="I714" t="s">
        <v>29</v>
      </c>
      <c r="J714">
        <v>0.09</v>
      </c>
      <c r="K714" t="s">
        <v>26</v>
      </c>
      <c r="L714" t="s">
        <v>18</v>
      </c>
      <c r="M714" t="s">
        <v>40</v>
      </c>
      <c r="N714">
        <f>sales_data_1[[#This Row],[Unit_Price]]-sales_data_1[[#This Row],[Unit_Cost]]</f>
        <v>318.97000000000003</v>
      </c>
      <c r="O714">
        <f>sales_data_1[[#This Row],[Unit_Price]]*sales_data_1[[#This Row],[Quantity_Sold]]</f>
        <v>44709.120000000003</v>
      </c>
      <c r="P714">
        <f>sales_data_1[[#This Row],[Unit - cost]]*sales_data_1[[#This Row],[Quantity_Sold]]</f>
        <v>7655.2800000000007</v>
      </c>
    </row>
    <row r="715" spans="1:16" x14ac:dyDescent="0.3">
      <c r="A715">
        <v>1006</v>
      </c>
      <c r="B715" s="1">
        <v>45195</v>
      </c>
      <c r="C715" t="s">
        <v>13</v>
      </c>
      <c r="D715" t="s">
        <v>33</v>
      </c>
      <c r="E715">
        <v>14</v>
      </c>
      <c r="F715" t="s">
        <v>25</v>
      </c>
      <c r="G715">
        <v>4503.7299999999996</v>
      </c>
      <c r="H715">
        <v>4879.8799999999992</v>
      </c>
      <c r="I715" t="s">
        <v>29</v>
      </c>
      <c r="J715">
        <v>0.24</v>
      </c>
      <c r="K715" t="s">
        <v>26</v>
      </c>
      <c r="L715" t="s">
        <v>21</v>
      </c>
      <c r="M715" t="s">
        <v>45</v>
      </c>
      <c r="N715">
        <f>sales_data_1[[#This Row],[Unit_Price]]-sales_data_1[[#This Row],[Unit_Cost]]</f>
        <v>376.14999999999964</v>
      </c>
      <c r="O715">
        <f>sales_data_1[[#This Row],[Unit_Price]]*sales_data_1[[#This Row],[Quantity_Sold]]</f>
        <v>68318.319999999992</v>
      </c>
      <c r="P715">
        <f>sales_data_1[[#This Row],[Unit - cost]]*sales_data_1[[#This Row],[Quantity_Sold]]</f>
        <v>5266.0999999999949</v>
      </c>
    </row>
    <row r="716" spans="1:16" x14ac:dyDescent="0.3">
      <c r="A716">
        <v>1058</v>
      </c>
      <c r="B716" s="1">
        <v>45289</v>
      </c>
      <c r="C716" t="s">
        <v>23</v>
      </c>
      <c r="D716" t="s">
        <v>14</v>
      </c>
      <c r="E716">
        <v>34</v>
      </c>
      <c r="F716" t="s">
        <v>34</v>
      </c>
      <c r="G716">
        <v>3160.61</v>
      </c>
      <c r="H716">
        <v>3273.2200000000003</v>
      </c>
      <c r="I716" t="s">
        <v>16</v>
      </c>
      <c r="J716">
        <v>0.08</v>
      </c>
      <c r="K716" t="s">
        <v>30</v>
      </c>
      <c r="L716" t="s">
        <v>21</v>
      </c>
      <c r="M716" t="s">
        <v>44</v>
      </c>
      <c r="N716">
        <f>sales_data_1[[#This Row],[Unit_Price]]-sales_data_1[[#This Row],[Unit_Cost]]</f>
        <v>112.61000000000013</v>
      </c>
      <c r="O716">
        <f>sales_data_1[[#This Row],[Unit_Price]]*sales_data_1[[#This Row],[Quantity_Sold]]</f>
        <v>111289.48000000001</v>
      </c>
      <c r="P716">
        <f>sales_data_1[[#This Row],[Unit - cost]]*sales_data_1[[#This Row],[Quantity_Sold]]</f>
        <v>3828.7400000000043</v>
      </c>
    </row>
    <row r="717" spans="1:16" x14ac:dyDescent="0.3">
      <c r="A717">
        <v>1044</v>
      </c>
      <c r="B717" s="1">
        <v>44971</v>
      </c>
      <c r="C717" t="s">
        <v>23</v>
      </c>
      <c r="D717" t="s">
        <v>20</v>
      </c>
      <c r="E717">
        <v>12</v>
      </c>
      <c r="F717" t="s">
        <v>34</v>
      </c>
      <c r="G717">
        <v>2221.31</v>
      </c>
      <c r="H717">
        <v>2494.48</v>
      </c>
      <c r="I717" t="s">
        <v>16</v>
      </c>
      <c r="J717">
        <v>0.22</v>
      </c>
      <c r="K717" t="s">
        <v>26</v>
      </c>
      <c r="L717" t="s">
        <v>18</v>
      </c>
      <c r="M717" t="s">
        <v>46</v>
      </c>
      <c r="N717">
        <f>sales_data_1[[#This Row],[Unit_Price]]-sales_data_1[[#This Row],[Unit_Cost]]</f>
        <v>273.17000000000007</v>
      </c>
      <c r="O717">
        <f>sales_data_1[[#This Row],[Unit_Price]]*sales_data_1[[#This Row],[Quantity_Sold]]</f>
        <v>29933.760000000002</v>
      </c>
      <c r="P717">
        <f>sales_data_1[[#This Row],[Unit - cost]]*sales_data_1[[#This Row],[Quantity_Sold]]</f>
        <v>3278.0400000000009</v>
      </c>
    </row>
    <row r="718" spans="1:16" x14ac:dyDescent="0.3">
      <c r="A718">
        <v>1045</v>
      </c>
      <c r="B718" s="1">
        <v>45271</v>
      </c>
      <c r="C718" t="s">
        <v>41</v>
      </c>
      <c r="D718" t="s">
        <v>20</v>
      </c>
      <c r="E718">
        <v>22</v>
      </c>
      <c r="F718" t="s">
        <v>28</v>
      </c>
      <c r="G718">
        <v>241.85</v>
      </c>
      <c r="H718">
        <v>613.09</v>
      </c>
      <c r="I718" t="s">
        <v>16</v>
      </c>
      <c r="J718">
        <v>0.06</v>
      </c>
      <c r="K718" t="s">
        <v>17</v>
      </c>
      <c r="L718" t="s">
        <v>18</v>
      </c>
      <c r="M718" t="s">
        <v>50</v>
      </c>
      <c r="N718">
        <f>sales_data_1[[#This Row],[Unit_Price]]-sales_data_1[[#This Row],[Unit_Cost]]</f>
        <v>371.24</v>
      </c>
      <c r="O718">
        <f>sales_data_1[[#This Row],[Unit_Price]]*sales_data_1[[#This Row],[Quantity_Sold]]</f>
        <v>13487.980000000001</v>
      </c>
      <c r="P718">
        <f>sales_data_1[[#This Row],[Unit - cost]]*sales_data_1[[#This Row],[Quantity_Sold]]</f>
        <v>8167.2800000000007</v>
      </c>
    </row>
    <row r="719" spans="1:16" x14ac:dyDescent="0.3">
      <c r="A719">
        <v>1032</v>
      </c>
      <c r="B719" s="1">
        <v>45107</v>
      </c>
      <c r="C719" t="s">
        <v>37</v>
      </c>
      <c r="D719" t="s">
        <v>14</v>
      </c>
      <c r="E719">
        <v>6</v>
      </c>
      <c r="F719" t="s">
        <v>28</v>
      </c>
      <c r="G719">
        <v>2522.7600000000002</v>
      </c>
      <c r="H719">
        <v>2840.1400000000003</v>
      </c>
      <c r="I719" t="s">
        <v>16</v>
      </c>
      <c r="J719">
        <v>7.0000000000000007E-2</v>
      </c>
      <c r="K719" t="s">
        <v>30</v>
      </c>
      <c r="L719" t="s">
        <v>21</v>
      </c>
      <c r="M719" t="s">
        <v>39</v>
      </c>
      <c r="N719">
        <f>sales_data_1[[#This Row],[Unit_Price]]-sales_data_1[[#This Row],[Unit_Cost]]</f>
        <v>317.38000000000011</v>
      </c>
      <c r="O719">
        <f>sales_data_1[[#This Row],[Unit_Price]]*sales_data_1[[#This Row],[Quantity_Sold]]</f>
        <v>17040.840000000004</v>
      </c>
      <c r="P719">
        <f>sales_data_1[[#This Row],[Unit - cost]]*sales_data_1[[#This Row],[Quantity_Sold]]</f>
        <v>1904.2800000000007</v>
      </c>
    </row>
    <row r="720" spans="1:16" x14ac:dyDescent="0.3">
      <c r="A720">
        <v>1045</v>
      </c>
      <c r="B720" s="1">
        <v>45096</v>
      </c>
      <c r="C720" t="s">
        <v>23</v>
      </c>
      <c r="D720" t="s">
        <v>14</v>
      </c>
      <c r="E720">
        <v>36</v>
      </c>
      <c r="F720" t="s">
        <v>34</v>
      </c>
      <c r="G720">
        <v>3835.64</v>
      </c>
      <c r="H720">
        <v>4076.77</v>
      </c>
      <c r="I720" t="s">
        <v>16</v>
      </c>
      <c r="J720">
        <v>0.1</v>
      </c>
      <c r="K720" t="s">
        <v>30</v>
      </c>
      <c r="L720" t="s">
        <v>21</v>
      </c>
      <c r="M720" t="s">
        <v>44</v>
      </c>
      <c r="N720">
        <f>sales_data_1[[#This Row],[Unit_Price]]-sales_data_1[[#This Row],[Unit_Cost]]</f>
        <v>241.13000000000011</v>
      </c>
      <c r="O720">
        <f>sales_data_1[[#This Row],[Unit_Price]]*sales_data_1[[#This Row],[Quantity_Sold]]</f>
        <v>146763.72</v>
      </c>
      <c r="P720">
        <f>sales_data_1[[#This Row],[Unit - cost]]*sales_data_1[[#This Row],[Quantity_Sold]]</f>
        <v>8680.6800000000039</v>
      </c>
    </row>
    <row r="721" spans="1:16" x14ac:dyDescent="0.3">
      <c r="A721">
        <v>1061</v>
      </c>
      <c r="B721" s="1">
        <v>45282</v>
      </c>
      <c r="C721" t="s">
        <v>41</v>
      </c>
      <c r="D721" t="s">
        <v>14</v>
      </c>
      <c r="E721">
        <v>45</v>
      </c>
      <c r="F721" t="s">
        <v>28</v>
      </c>
      <c r="G721">
        <v>1364.51</v>
      </c>
      <c r="H721">
        <v>1844.8</v>
      </c>
      <c r="I721" t="s">
        <v>16</v>
      </c>
      <c r="J721">
        <v>0.18</v>
      </c>
      <c r="K721" t="s">
        <v>17</v>
      </c>
      <c r="L721" t="s">
        <v>18</v>
      </c>
      <c r="M721" t="s">
        <v>48</v>
      </c>
      <c r="N721">
        <f>sales_data_1[[#This Row],[Unit_Price]]-sales_data_1[[#This Row],[Unit_Cost]]</f>
        <v>480.28999999999996</v>
      </c>
      <c r="O721">
        <f>sales_data_1[[#This Row],[Unit_Price]]*sales_data_1[[#This Row],[Quantity_Sold]]</f>
        <v>83016</v>
      </c>
      <c r="P721">
        <f>sales_data_1[[#This Row],[Unit - cost]]*sales_data_1[[#This Row],[Quantity_Sold]]</f>
        <v>21613.05</v>
      </c>
    </row>
    <row r="722" spans="1:16" x14ac:dyDescent="0.3">
      <c r="A722">
        <v>1047</v>
      </c>
      <c r="B722" s="1">
        <v>45117</v>
      </c>
      <c r="C722" t="s">
        <v>23</v>
      </c>
      <c r="D722" t="s">
        <v>14</v>
      </c>
      <c r="E722">
        <v>36</v>
      </c>
      <c r="F722" t="s">
        <v>25</v>
      </c>
      <c r="G722">
        <v>4043.53</v>
      </c>
      <c r="H722">
        <v>4384.8500000000004</v>
      </c>
      <c r="I722" t="s">
        <v>29</v>
      </c>
      <c r="J722">
        <v>0.14000000000000001</v>
      </c>
      <c r="K722" t="s">
        <v>17</v>
      </c>
      <c r="L722" t="s">
        <v>18</v>
      </c>
      <c r="M722" t="s">
        <v>44</v>
      </c>
      <c r="N722">
        <f>sales_data_1[[#This Row],[Unit_Price]]-sales_data_1[[#This Row],[Unit_Cost]]</f>
        <v>341.32000000000016</v>
      </c>
      <c r="O722">
        <f>sales_data_1[[#This Row],[Unit_Price]]*sales_data_1[[#This Row],[Quantity_Sold]]</f>
        <v>157854.6</v>
      </c>
      <c r="P722">
        <f>sales_data_1[[#This Row],[Unit - cost]]*sales_data_1[[#This Row],[Quantity_Sold]]</f>
        <v>12287.520000000006</v>
      </c>
    </row>
    <row r="723" spans="1:16" x14ac:dyDescent="0.3">
      <c r="A723">
        <v>1021</v>
      </c>
      <c r="B723" s="1">
        <v>45081</v>
      </c>
      <c r="C723" t="s">
        <v>37</v>
      </c>
      <c r="D723" t="s">
        <v>14</v>
      </c>
      <c r="E723">
        <v>22</v>
      </c>
      <c r="F723" t="s">
        <v>34</v>
      </c>
      <c r="G723">
        <v>1296.44</v>
      </c>
      <c r="H723">
        <v>1751.24</v>
      </c>
      <c r="I723" t="s">
        <v>29</v>
      </c>
      <c r="J723">
        <v>0.22</v>
      </c>
      <c r="K723" t="s">
        <v>17</v>
      </c>
      <c r="L723" t="s">
        <v>18</v>
      </c>
      <c r="M723" t="s">
        <v>39</v>
      </c>
      <c r="N723">
        <f>sales_data_1[[#This Row],[Unit_Price]]-sales_data_1[[#This Row],[Unit_Cost]]</f>
        <v>454.79999999999995</v>
      </c>
      <c r="O723">
        <f>sales_data_1[[#This Row],[Unit_Price]]*sales_data_1[[#This Row],[Quantity_Sold]]</f>
        <v>38527.279999999999</v>
      </c>
      <c r="P723">
        <f>sales_data_1[[#This Row],[Unit - cost]]*sales_data_1[[#This Row],[Quantity_Sold]]</f>
        <v>10005.599999999999</v>
      </c>
    </row>
    <row r="724" spans="1:16" x14ac:dyDescent="0.3">
      <c r="A724">
        <v>1080</v>
      </c>
      <c r="B724" s="1">
        <v>45114</v>
      </c>
      <c r="C724" t="s">
        <v>32</v>
      </c>
      <c r="D724" t="s">
        <v>20</v>
      </c>
      <c r="E724">
        <v>14</v>
      </c>
      <c r="F724" t="s">
        <v>25</v>
      </c>
      <c r="G724">
        <v>4127.54</v>
      </c>
      <c r="H724">
        <v>4495.13</v>
      </c>
      <c r="I724" t="s">
        <v>29</v>
      </c>
      <c r="J724">
        <v>0.06</v>
      </c>
      <c r="K724" t="s">
        <v>26</v>
      </c>
      <c r="L724" t="s">
        <v>21</v>
      </c>
      <c r="M724" t="s">
        <v>36</v>
      </c>
      <c r="N724">
        <f>sales_data_1[[#This Row],[Unit_Price]]-sales_data_1[[#This Row],[Unit_Cost]]</f>
        <v>367.59000000000015</v>
      </c>
      <c r="O724">
        <f>sales_data_1[[#This Row],[Unit_Price]]*sales_data_1[[#This Row],[Quantity_Sold]]</f>
        <v>62931.82</v>
      </c>
      <c r="P724">
        <f>sales_data_1[[#This Row],[Unit - cost]]*sales_data_1[[#This Row],[Quantity_Sold]]</f>
        <v>5146.260000000002</v>
      </c>
    </row>
    <row r="725" spans="1:16" x14ac:dyDescent="0.3">
      <c r="A725">
        <v>1085</v>
      </c>
      <c r="B725" s="1">
        <v>44933</v>
      </c>
      <c r="C725" t="s">
        <v>37</v>
      </c>
      <c r="D725" t="s">
        <v>20</v>
      </c>
      <c r="E725">
        <v>16</v>
      </c>
      <c r="F725" t="s">
        <v>25</v>
      </c>
      <c r="G725">
        <v>472.08</v>
      </c>
      <c r="H725">
        <v>842.46</v>
      </c>
      <c r="I725" t="s">
        <v>29</v>
      </c>
      <c r="J725">
        <v>0</v>
      </c>
      <c r="K725" t="s">
        <v>17</v>
      </c>
      <c r="L725" t="s">
        <v>21</v>
      </c>
      <c r="M725" t="s">
        <v>40</v>
      </c>
      <c r="N725">
        <f>sales_data_1[[#This Row],[Unit_Price]]-sales_data_1[[#This Row],[Unit_Cost]]</f>
        <v>370.38000000000005</v>
      </c>
      <c r="O725">
        <f>sales_data_1[[#This Row],[Unit_Price]]*sales_data_1[[#This Row],[Quantity_Sold]]</f>
        <v>13479.36</v>
      </c>
      <c r="P725">
        <f>sales_data_1[[#This Row],[Unit - cost]]*sales_data_1[[#This Row],[Quantity_Sold]]</f>
        <v>5926.0800000000008</v>
      </c>
    </row>
    <row r="726" spans="1:16" x14ac:dyDescent="0.3">
      <c r="A726">
        <v>1075</v>
      </c>
      <c r="B726" s="1">
        <v>45059</v>
      </c>
      <c r="C726" t="s">
        <v>13</v>
      </c>
      <c r="D726" t="s">
        <v>33</v>
      </c>
      <c r="E726">
        <v>36</v>
      </c>
      <c r="F726" t="s">
        <v>28</v>
      </c>
      <c r="G726">
        <v>4337.6099999999997</v>
      </c>
      <c r="H726">
        <v>4386.82</v>
      </c>
      <c r="I726" t="s">
        <v>16</v>
      </c>
      <c r="J726">
        <v>0.23</v>
      </c>
      <c r="K726" t="s">
        <v>30</v>
      </c>
      <c r="L726" t="s">
        <v>18</v>
      </c>
      <c r="M726" t="s">
        <v>45</v>
      </c>
      <c r="N726">
        <f>sales_data_1[[#This Row],[Unit_Price]]-sales_data_1[[#This Row],[Unit_Cost]]</f>
        <v>49.210000000000036</v>
      </c>
      <c r="O726">
        <f>sales_data_1[[#This Row],[Unit_Price]]*sales_data_1[[#This Row],[Quantity_Sold]]</f>
        <v>157925.51999999999</v>
      </c>
      <c r="P726">
        <f>sales_data_1[[#This Row],[Unit - cost]]*sales_data_1[[#This Row],[Quantity_Sold]]</f>
        <v>1771.5600000000013</v>
      </c>
    </row>
    <row r="727" spans="1:16" x14ac:dyDescent="0.3">
      <c r="A727">
        <v>1036</v>
      </c>
      <c r="B727" s="1">
        <v>45161</v>
      </c>
      <c r="C727" t="s">
        <v>23</v>
      </c>
      <c r="D727" t="s">
        <v>33</v>
      </c>
      <c r="E727">
        <v>25</v>
      </c>
      <c r="F727" t="s">
        <v>25</v>
      </c>
      <c r="G727">
        <v>2520.9699999999998</v>
      </c>
      <c r="H727">
        <v>2707.1099999999997</v>
      </c>
      <c r="I727" t="s">
        <v>29</v>
      </c>
      <c r="J727">
        <v>0.25</v>
      </c>
      <c r="K727" t="s">
        <v>17</v>
      </c>
      <c r="L727" t="s">
        <v>21</v>
      </c>
      <c r="M727" t="s">
        <v>49</v>
      </c>
      <c r="N727">
        <f>sales_data_1[[#This Row],[Unit_Price]]-sales_data_1[[#This Row],[Unit_Cost]]</f>
        <v>186.13999999999987</v>
      </c>
      <c r="O727">
        <f>sales_data_1[[#This Row],[Unit_Price]]*sales_data_1[[#This Row],[Quantity_Sold]]</f>
        <v>67677.749999999985</v>
      </c>
      <c r="P727">
        <f>sales_data_1[[#This Row],[Unit - cost]]*sales_data_1[[#This Row],[Quantity_Sold]]</f>
        <v>4653.4999999999964</v>
      </c>
    </row>
    <row r="728" spans="1:16" x14ac:dyDescent="0.3">
      <c r="A728">
        <v>1099</v>
      </c>
      <c r="B728" s="1">
        <v>44971</v>
      </c>
      <c r="C728" t="s">
        <v>23</v>
      </c>
      <c r="D728" t="s">
        <v>24</v>
      </c>
      <c r="E728">
        <v>32</v>
      </c>
      <c r="F728" t="s">
        <v>28</v>
      </c>
      <c r="G728">
        <v>1517.86</v>
      </c>
      <c r="H728">
        <v>1948.46</v>
      </c>
      <c r="I728" t="s">
        <v>29</v>
      </c>
      <c r="J728">
        <v>0.02</v>
      </c>
      <c r="K728" t="s">
        <v>30</v>
      </c>
      <c r="L728" t="s">
        <v>18</v>
      </c>
      <c r="M728" t="s">
        <v>27</v>
      </c>
      <c r="N728">
        <f>sales_data_1[[#This Row],[Unit_Price]]-sales_data_1[[#This Row],[Unit_Cost]]</f>
        <v>430.60000000000014</v>
      </c>
      <c r="O728">
        <f>sales_data_1[[#This Row],[Unit_Price]]*sales_data_1[[#This Row],[Quantity_Sold]]</f>
        <v>62350.720000000001</v>
      </c>
      <c r="P728">
        <f>sales_data_1[[#This Row],[Unit - cost]]*sales_data_1[[#This Row],[Quantity_Sold]]</f>
        <v>13779.200000000004</v>
      </c>
    </row>
    <row r="729" spans="1:16" x14ac:dyDescent="0.3">
      <c r="A729">
        <v>1019</v>
      </c>
      <c r="B729" s="1">
        <v>45240</v>
      </c>
      <c r="C729" t="s">
        <v>13</v>
      </c>
      <c r="D729" t="s">
        <v>33</v>
      </c>
      <c r="E729">
        <v>33</v>
      </c>
      <c r="F729" t="s">
        <v>15</v>
      </c>
      <c r="G729">
        <v>1362.31</v>
      </c>
      <c r="H729">
        <v>1486.29</v>
      </c>
      <c r="I729" t="s">
        <v>16</v>
      </c>
      <c r="J729">
        <v>0.18</v>
      </c>
      <c r="K729" t="s">
        <v>30</v>
      </c>
      <c r="L729" t="s">
        <v>21</v>
      </c>
      <c r="M729" t="s">
        <v>45</v>
      </c>
      <c r="N729">
        <f>sales_data_1[[#This Row],[Unit_Price]]-sales_data_1[[#This Row],[Unit_Cost]]</f>
        <v>123.98000000000002</v>
      </c>
      <c r="O729">
        <f>sales_data_1[[#This Row],[Unit_Price]]*sales_data_1[[#This Row],[Quantity_Sold]]</f>
        <v>49047.57</v>
      </c>
      <c r="P729">
        <f>sales_data_1[[#This Row],[Unit - cost]]*sales_data_1[[#This Row],[Quantity_Sold]]</f>
        <v>4091.3400000000006</v>
      </c>
    </row>
    <row r="730" spans="1:16" x14ac:dyDescent="0.3">
      <c r="A730">
        <v>1020</v>
      </c>
      <c r="B730" s="1">
        <v>45175</v>
      </c>
      <c r="C730" t="s">
        <v>13</v>
      </c>
      <c r="D730" t="s">
        <v>33</v>
      </c>
      <c r="E730">
        <v>45</v>
      </c>
      <c r="F730" t="s">
        <v>28</v>
      </c>
      <c r="G730">
        <v>2188.4499999999998</v>
      </c>
      <c r="H730">
        <v>2255.0499999999997</v>
      </c>
      <c r="I730" t="s">
        <v>29</v>
      </c>
      <c r="J730">
        <v>0.11</v>
      </c>
      <c r="K730" t="s">
        <v>26</v>
      </c>
      <c r="L730" t="s">
        <v>21</v>
      </c>
      <c r="M730" t="s">
        <v>45</v>
      </c>
      <c r="N730">
        <f>sales_data_1[[#This Row],[Unit_Price]]-sales_data_1[[#This Row],[Unit_Cost]]</f>
        <v>66.599999999999909</v>
      </c>
      <c r="O730">
        <f>sales_data_1[[#This Row],[Unit_Price]]*sales_data_1[[#This Row],[Quantity_Sold]]</f>
        <v>101477.24999999999</v>
      </c>
      <c r="P730">
        <f>sales_data_1[[#This Row],[Unit - cost]]*sales_data_1[[#This Row],[Quantity_Sold]]</f>
        <v>2996.9999999999959</v>
      </c>
    </row>
    <row r="731" spans="1:16" x14ac:dyDescent="0.3">
      <c r="A731">
        <v>1057</v>
      </c>
      <c r="B731" s="1">
        <v>44957</v>
      </c>
      <c r="C731" t="s">
        <v>32</v>
      </c>
      <c r="D731" t="s">
        <v>14</v>
      </c>
      <c r="E731">
        <v>36</v>
      </c>
      <c r="F731" t="s">
        <v>25</v>
      </c>
      <c r="G731">
        <v>4995.3</v>
      </c>
      <c r="H731">
        <v>5165.09</v>
      </c>
      <c r="I731" t="s">
        <v>16</v>
      </c>
      <c r="J731">
        <v>0.24</v>
      </c>
      <c r="K731" t="s">
        <v>17</v>
      </c>
      <c r="L731" t="s">
        <v>18</v>
      </c>
      <c r="M731" t="s">
        <v>52</v>
      </c>
      <c r="N731">
        <f>sales_data_1[[#This Row],[Unit_Price]]-sales_data_1[[#This Row],[Unit_Cost]]</f>
        <v>169.78999999999996</v>
      </c>
      <c r="O731">
        <f>sales_data_1[[#This Row],[Unit_Price]]*sales_data_1[[#This Row],[Quantity_Sold]]</f>
        <v>185943.24</v>
      </c>
      <c r="P731">
        <f>sales_data_1[[#This Row],[Unit - cost]]*sales_data_1[[#This Row],[Quantity_Sold]]</f>
        <v>6112.4399999999987</v>
      </c>
    </row>
    <row r="732" spans="1:16" x14ac:dyDescent="0.3">
      <c r="A732">
        <v>1018</v>
      </c>
      <c r="B732" s="1">
        <v>44949</v>
      </c>
      <c r="C732" t="s">
        <v>23</v>
      </c>
      <c r="D732" t="s">
        <v>14</v>
      </c>
      <c r="E732">
        <v>20</v>
      </c>
      <c r="F732" t="s">
        <v>15</v>
      </c>
      <c r="G732">
        <v>1140.6199999999999</v>
      </c>
      <c r="H732">
        <v>1258.6299999999999</v>
      </c>
      <c r="I732" t="s">
        <v>16</v>
      </c>
      <c r="J732">
        <v>0.26</v>
      </c>
      <c r="K732" t="s">
        <v>26</v>
      </c>
      <c r="L732" t="s">
        <v>18</v>
      </c>
      <c r="M732" t="s">
        <v>44</v>
      </c>
      <c r="N732">
        <f>sales_data_1[[#This Row],[Unit_Price]]-sales_data_1[[#This Row],[Unit_Cost]]</f>
        <v>118.00999999999999</v>
      </c>
      <c r="O732">
        <f>sales_data_1[[#This Row],[Unit_Price]]*sales_data_1[[#This Row],[Quantity_Sold]]</f>
        <v>25172.6</v>
      </c>
      <c r="P732">
        <f>sales_data_1[[#This Row],[Unit - cost]]*sales_data_1[[#This Row],[Quantity_Sold]]</f>
        <v>2360.1999999999998</v>
      </c>
    </row>
    <row r="733" spans="1:16" x14ac:dyDescent="0.3">
      <c r="A733">
        <v>1047</v>
      </c>
      <c r="B733" s="1">
        <v>45086</v>
      </c>
      <c r="C733" t="s">
        <v>23</v>
      </c>
      <c r="D733" t="s">
        <v>33</v>
      </c>
      <c r="E733">
        <v>18</v>
      </c>
      <c r="F733" t="s">
        <v>28</v>
      </c>
      <c r="G733">
        <v>560.91999999999996</v>
      </c>
      <c r="H733">
        <v>1024.31</v>
      </c>
      <c r="I733" t="s">
        <v>16</v>
      </c>
      <c r="J733">
        <v>0.26</v>
      </c>
      <c r="K733" t="s">
        <v>17</v>
      </c>
      <c r="L733" t="s">
        <v>18</v>
      </c>
      <c r="M733" t="s">
        <v>49</v>
      </c>
      <c r="N733">
        <f>sales_data_1[[#This Row],[Unit_Price]]-sales_data_1[[#This Row],[Unit_Cost]]</f>
        <v>463.39</v>
      </c>
      <c r="O733">
        <f>sales_data_1[[#This Row],[Unit_Price]]*sales_data_1[[#This Row],[Quantity_Sold]]</f>
        <v>18437.579999999998</v>
      </c>
      <c r="P733">
        <f>sales_data_1[[#This Row],[Unit - cost]]*sales_data_1[[#This Row],[Quantity_Sold]]</f>
        <v>8341.02</v>
      </c>
    </row>
    <row r="734" spans="1:16" x14ac:dyDescent="0.3">
      <c r="A734">
        <v>1049</v>
      </c>
      <c r="B734" s="1">
        <v>45289</v>
      </c>
      <c r="C734" t="s">
        <v>32</v>
      </c>
      <c r="D734" t="s">
        <v>24</v>
      </c>
      <c r="E734">
        <v>38</v>
      </c>
      <c r="F734" t="s">
        <v>25</v>
      </c>
      <c r="G734">
        <v>2945.92</v>
      </c>
      <c r="H734">
        <v>3381.2200000000003</v>
      </c>
      <c r="I734" t="s">
        <v>16</v>
      </c>
      <c r="J734">
        <v>0.23</v>
      </c>
      <c r="K734" t="s">
        <v>17</v>
      </c>
      <c r="L734" t="s">
        <v>21</v>
      </c>
      <c r="M734" t="s">
        <v>43</v>
      </c>
      <c r="N734">
        <f>sales_data_1[[#This Row],[Unit_Price]]-sales_data_1[[#This Row],[Unit_Cost]]</f>
        <v>435.30000000000018</v>
      </c>
      <c r="O734">
        <f>sales_data_1[[#This Row],[Unit_Price]]*sales_data_1[[#This Row],[Quantity_Sold]]</f>
        <v>128486.36000000002</v>
      </c>
      <c r="P734">
        <f>sales_data_1[[#This Row],[Unit - cost]]*sales_data_1[[#This Row],[Quantity_Sold]]</f>
        <v>16541.400000000009</v>
      </c>
    </row>
    <row r="735" spans="1:16" x14ac:dyDescent="0.3">
      <c r="A735">
        <v>1014</v>
      </c>
      <c r="B735" s="1">
        <v>45084</v>
      </c>
      <c r="C735" t="s">
        <v>41</v>
      </c>
      <c r="D735" t="s">
        <v>14</v>
      </c>
      <c r="E735">
        <v>3</v>
      </c>
      <c r="F735" t="s">
        <v>34</v>
      </c>
      <c r="G735">
        <v>2468.29</v>
      </c>
      <c r="H735">
        <v>2723.13</v>
      </c>
      <c r="I735" t="s">
        <v>16</v>
      </c>
      <c r="J735">
        <v>0.08</v>
      </c>
      <c r="K735" t="s">
        <v>17</v>
      </c>
      <c r="L735" t="s">
        <v>21</v>
      </c>
      <c r="M735" t="s">
        <v>48</v>
      </c>
      <c r="N735">
        <f>sales_data_1[[#This Row],[Unit_Price]]-sales_data_1[[#This Row],[Unit_Cost]]</f>
        <v>254.84000000000015</v>
      </c>
      <c r="O735">
        <f>sales_data_1[[#This Row],[Unit_Price]]*sales_data_1[[#This Row],[Quantity_Sold]]</f>
        <v>8169.39</v>
      </c>
      <c r="P735">
        <f>sales_data_1[[#This Row],[Unit - cost]]*sales_data_1[[#This Row],[Quantity_Sold]]</f>
        <v>764.52000000000044</v>
      </c>
    </row>
    <row r="736" spans="1:16" x14ac:dyDescent="0.3">
      <c r="A736">
        <v>1015</v>
      </c>
      <c r="B736" s="1">
        <v>44965</v>
      </c>
      <c r="C736" t="s">
        <v>32</v>
      </c>
      <c r="D736" t="s">
        <v>33</v>
      </c>
      <c r="E736">
        <v>23</v>
      </c>
      <c r="F736" t="s">
        <v>34</v>
      </c>
      <c r="G736">
        <v>2644.77</v>
      </c>
      <c r="H736">
        <v>2684.83</v>
      </c>
      <c r="I736" t="s">
        <v>29</v>
      </c>
      <c r="J736">
        <v>0.24</v>
      </c>
      <c r="K736" t="s">
        <v>17</v>
      </c>
      <c r="L736" t="s">
        <v>18</v>
      </c>
      <c r="M736" t="s">
        <v>35</v>
      </c>
      <c r="N736">
        <f>sales_data_1[[#This Row],[Unit_Price]]-sales_data_1[[#This Row],[Unit_Cost]]</f>
        <v>40.059999999999945</v>
      </c>
      <c r="O736">
        <f>sales_data_1[[#This Row],[Unit_Price]]*sales_data_1[[#This Row],[Quantity_Sold]]</f>
        <v>61751.09</v>
      </c>
      <c r="P736">
        <f>sales_data_1[[#This Row],[Unit - cost]]*sales_data_1[[#This Row],[Quantity_Sold]]</f>
        <v>921.37999999999874</v>
      </c>
    </row>
    <row r="737" spans="1:16" x14ac:dyDescent="0.3">
      <c r="A737">
        <v>1031</v>
      </c>
      <c r="B737" s="1">
        <v>45008</v>
      </c>
      <c r="C737" t="s">
        <v>37</v>
      </c>
      <c r="D737" t="s">
        <v>33</v>
      </c>
      <c r="E737">
        <v>32</v>
      </c>
      <c r="F737" t="s">
        <v>28</v>
      </c>
      <c r="G737">
        <v>3351.33</v>
      </c>
      <c r="H737">
        <v>3711.47</v>
      </c>
      <c r="I737" t="s">
        <v>29</v>
      </c>
      <c r="J737">
        <v>0.16</v>
      </c>
      <c r="K737" t="s">
        <v>17</v>
      </c>
      <c r="L737" t="s">
        <v>21</v>
      </c>
      <c r="M737" t="s">
        <v>47</v>
      </c>
      <c r="N737">
        <f>sales_data_1[[#This Row],[Unit_Price]]-sales_data_1[[#This Row],[Unit_Cost]]</f>
        <v>360.13999999999987</v>
      </c>
      <c r="O737">
        <f>sales_data_1[[#This Row],[Unit_Price]]*sales_data_1[[#This Row],[Quantity_Sold]]</f>
        <v>118767.03999999999</v>
      </c>
      <c r="P737">
        <f>sales_data_1[[#This Row],[Unit - cost]]*sales_data_1[[#This Row],[Quantity_Sold]]</f>
        <v>11524.479999999996</v>
      </c>
    </row>
    <row r="738" spans="1:16" x14ac:dyDescent="0.3">
      <c r="A738">
        <v>1001</v>
      </c>
      <c r="B738" s="1">
        <v>45282</v>
      </c>
      <c r="C738" t="s">
        <v>23</v>
      </c>
      <c r="D738" t="s">
        <v>20</v>
      </c>
      <c r="E738">
        <v>45</v>
      </c>
      <c r="F738" t="s">
        <v>28</v>
      </c>
      <c r="G738">
        <v>1372.36</v>
      </c>
      <c r="H738">
        <v>1687.83</v>
      </c>
      <c r="I738" t="s">
        <v>29</v>
      </c>
      <c r="J738">
        <v>0.02</v>
      </c>
      <c r="K738" t="s">
        <v>30</v>
      </c>
      <c r="L738" t="s">
        <v>18</v>
      </c>
      <c r="M738" t="s">
        <v>46</v>
      </c>
      <c r="N738">
        <f>sales_data_1[[#This Row],[Unit_Price]]-sales_data_1[[#This Row],[Unit_Cost]]</f>
        <v>315.47000000000003</v>
      </c>
      <c r="O738">
        <f>sales_data_1[[#This Row],[Unit_Price]]*sales_data_1[[#This Row],[Quantity_Sold]]</f>
        <v>75952.349999999991</v>
      </c>
      <c r="P738">
        <f>sales_data_1[[#This Row],[Unit - cost]]*sales_data_1[[#This Row],[Quantity_Sold]]</f>
        <v>14196.150000000001</v>
      </c>
    </row>
    <row r="739" spans="1:16" x14ac:dyDescent="0.3">
      <c r="A739">
        <v>1054</v>
      </c>
      <c r="B739" s="1">
        <v>45184</v>
      </c>
      <c r="C739" t="s">
        <v>13</v>
      </c>
      <c r="D739" t="s">
        <v>24</v>
      </c>
      <c r="E739">
        <v>16</v>
      </c>
      <c r="F739" t="s">
        <v>34</v>
      </c>
      <c r="G739">
        <v>4557.79</v>
      </c>
      <c r="H739">
        <v>5043.3599999999997</v>
      </c>
      <c r="I739" t="s">
        <v>16</v>
      </c>
      <c r="J739">
        <v>0.14000000000000001</v>
      </c>
      <c r="K739" t="s">
        <v>30</v>
      </c>
      <c r="L739" t="s">
        <v>21</v>
      </c>
      <c r="M739" t="s">
        <v>31</v>
      </c>
      <c r="N739">
        <f>sales_data_1[[#This Row],[Unit_Price]]-sales_data_1[[#This Row],[Unit_Cost]]</f>
        <v>485.56999999999971</v>
      </c>
      <c r="O739">
        <f>sales_data_1[[#This Row],[Unit_Price]]*sales_data_1[[#This Row],[Quantity_Sold]]</f>
        <v>80693.759999999995</v>
      </c>
      <c r="P739">
        <f>sales_data_1[[#This Row],[Unit - cost]]*sales_data_1[[#This Row],[Quantity_Sold]]</f>
        <v>7769.1199999999953</v>
      </c>
    </row>
    <row r="740" spans="1:16" x14ac:dyDescent="0.3">
      <c r="A740">
        <v>1003</v>
      </c>
      <c r="B740" s="1">
        <v>45132</v>
      </c>
      <c r="C740" t="s">
        <v>37</v>
      </c>
      <c r="D740" t="s">
        <v>20</v>
      </c>
      <c r="E740">
        <v>5</v>
      </c>
      <c r="F740" t="s">
        <v>25</v>
      </c>
      <c r="G740">
        <v>2206.58</v>
      </c>
      <c r="H740">
        <v>2490.4699999999998</v>
      </c>
      <c r="I740" t="s">
        <v>29</v>
      </c>
      <c r="J740">
        <v>0.28000000000000003</v>
      </c>
      <c r="K740" t="s">
        <v>17</v>
      </c>
      <c r="L740" t="s">
        <v>18</v>
      </c>
      <c r="M740" t="s">
        <v>40</v>
      </c>
      <c r="N740">
        <f>sales_data_1[[#This Row],[Unit_Price]]-sales_data_1[[#This Row],[Unit_Cost]]</f>
        <v>283.88999999999987</v>
      </c>
      <c r="O740">
        <f>sales_data_1[[#This Row],[Unit_Price]]*sales_data_1[[#This Row],[Quantity_Sold]]</f>
        <v>12452.349999999999</v>
      </c>
      <c r="P740">
        <f>sales_data_1[[#This Row],[Unit - cost]]*sales_data_1[[#This Row],[Quantity_Sold]]</f>
        <v>1419.4499999999994</v>
      </c>
    </row>
    <row r="741" spans="1:16" x14ac:dyDescent="0.3">
      <c r="A741">
        <v>1016</v>
      </c>
      <c r="B741" s="1">
        <v>45003</v>
      </c>
      <c r="C741" t="s">
        <v>23</v>
      </c>
      <c r="D741" t="s">
        <v>24</v>
      </c>
      <c r="E741">
        <v>4</v>
      </c>
      <c r="F741" t="s">
        <v>25</v>
      </c>
      <c r="G741">
        <v>688.98</v>
      </c>
      <c r="H741">
        <v>863.81000000000006</v>
      </c>
      <c r="I741" t="s">
        <v>29</v>
      </c>
      <c r="J741">
        <v>0.27</v>
      </c>
      <c r="K741" t="s">
        <v>30</v>
      </c>
      <c r="L741" t="s">
        <v>21</v>
      </c>
      <c r="M741" t="s">
        <v>27</v>
      </c>
      <c r="N741">
        <f>sales_data_1[[#This Row],[Unit_Price]]-sales_data_1[[#This Row],[Unit_Cost]]</f>
        <v>174.83000000000004</v>
      </c>
      <c r="O741">
        <f>sales_data_1[[#This Row],[Unit_Price]]*sales_data_1[[#This Row],[Quantity_Sold]]</f>
        <v>3455.2400000000002</v>
      </c>
      <c r="P741">
        <f>sales_data_1[[#This Row],[Unit - cost]]*sales_data_1[[#This Row],[Quantity_Sold]]</f>
        <v>699.32000000000016</v>
      </c>
    </row>
    <row r="742" spans="1:16" x14ac:dyDescent="0.3">
      <c r="A742">
        <v>1087</v>
      </c>
      <c r="B742" s="1">
        <v>44938</v>
      </c>
      <c r="C742" t="s">
        <v>32</v>
      </c>
      <c r="D742" t="s">
        <v>14</v>
      </c>
      <c r="E742">
        <v>21</v>
      </c>
      <c r="F742" t="s">
        <v>25</v>
      </c>
      <c r="G742">
        <v>3724.38</v>
      </c>
      <c r="H742">
        <v>3988.7000000000003</v>
      </c>
      <c r="I742" t="s">
        <v>29</v>
      </c>
      <c r="J742">
        <v>0.03</v>
      </c>
      <c r="K742" t="s">
        <v>26</v>
      </c>
      <c r="L742" t="s">
        <v>21</v>
      </c>
      <c r="M742" t="s">
        <v>52</v>
      </c>
      <c r="N742">
        <f>sales_data_1[[#This Row],[Unit_Price]]-sales_data_1[[#This Row],[Unit_Cost]]</f>
        <v>264.32000000000016</v>
      </c>
      <c r="O742">
        <f>sales_data_1[[#This Row],[Unit_Price]]*sales_data_1[[#This Row],[Quantity_Sold]]</f>
        <v>83762.700000000012</v>
      </c>
      <c r="P742">
        <f>sales_data_1[[#This Row],[Unit - cost]]*sales_data_1[[#This Row],[Quantity_Sold]]</f>
        <v>5550.720000000003</v>
      </c>
    </row>
    <row r="743" spans="1:16" x14ac:dyDescent="0.3">
      <c r="A743">
        <v>1057</v>
      </c>
      <c r="B743" s="1">
        <v>45221</v>
      </c>
      <c r="C743" t="s">
        <v>37</v>
      </c>
      <c r="D743" t="s">
        <v>24</v>
      </c>
      <c r="E743">
        <v>40</v>
      </c>
      <c r="F743" t="s">
        <v>28</v>
      </c>
      <c r="G743">
        <v>3233.37</v>
      </c>
      <c r="H743">
        <v>3723.21</v>
      </c>
      <c r="I743" t="s">
        <v>29</v>
      </c>
      <c r="J743">
        <v>0.22</v>
      </c>
      <c r="K743" t="s">
        <v>26</v>
      </c>
      <c r="L743" t="s">
        <v>21</v>
      </c>
      <c r="M743" t="s">
        <v>38</v>
      </c>
      <c r="N743">
        <f>sales_data_1[[#This Row],[Unit_Price]]-sales_data_1[[#This Row],[Unit_Cost]]</f>
        <v>489.84000000000015</v>
      </c>
      <c r="O743">
        <f>sales_data_1[[#This Row],[Unit_Price]]*sales_data_1[[#This Row],[Quantity_Sold]]</f>
        <v>148928.4</v>
      </c>
      <c r="P743">
        <f>sales_data_1[[#This Row],[Unit - cost]]*sales_data_1[[#This Row],[Quantity_Sold]]</f>
        <v>19593.600000000006</v>
      </c>
    </row>
    <row r="744" spans="1:16" x14ac:dyDescent="0.3">
      <c r="A744">
        <v>1075</v>
      </c>
      <c r="B744" s="1">
        <v>45150</v>
      </c>
      <c r="C744" t="s">
        <v>23</v>
      </c>
      <c r="D744" t="s">
        <v>33</v>
      </c>
      <c r="E744">
        <v>14</v>
      </c>
      <c r="F744" t="s">
        <v>15</v>
      </c>
      <c r="G744">
        <v>1612.93</v>
      </c>
      <c r="H744">
        <v>1964.15</v>
      </c>
      <c r="I744" t="s">
        <v>16</v>
      </c>
      <c r="J744">
        <v>0.24</v>
      </c>
      <c r="K744" t="s">
        <v>26</v>
      </c>
      <c r="L744" t="s">
        <v>21</v>
      </c>
      <c r="M744" t="s">
        <v>49</v>
      </c>
      <c r="N744">
        <f>sales_data_1[[#This Row],[Unit_Price]]-sales_data_1[[#This Row],[Unit_Cost]]</f>
        <v>351.22</v>
      </c>
      <c r="O744">
        <f>sales_data_1[[#This Row],[Unit_Price]]*sales_data_1[[#This Row],[Quantity_Sold]]</f>
        <v>27498.100000000002</v>
      </c>
      <c r="P744">
        <f>sales_data_1[[#This Row],[Unit - cost]]*sales_data_1[[#This Row],[Quantity_Sold]]</f>
        <v>4917.08</v>
      </c>
    </row>
    <row r="745" spans="1:16" x14ac:dyDescent="0.3">
      <c r="A745">
        <v>1012</v>
      </c>
      <c r="B745" s="1">
        <v>44939</v>
      </c>
      <c r="C745" t="s">
        <v>41</v>
      </c>
      <c r="D745" t="s">
        <v>33</v>
      </c>
      <c r="E745">
        <v>39</v>
      </c>
      <c r="F745" t="s">
        <v>15</v>
      </c>
      <c r="G745">
        <v>3126.52</v>
      </c>
      <c r="H745">
        <v>3465.79</v>
      </c>
      <c r="I745" t="s">
        <v>29</v>
      </c>
      <c r="J745">
        <v>0.08</v>
      </c>
      <c r="K745" t="s">
        <v>17</v>
      </c>
      <c r="L745" t="s">
        <v>18</v>
      </c>
      <c r="M745" t="s">
        <v>51</v>
      </c>
      <c r="N745">
        <f>sales_data_1[[#This Row],[Unit_Price]]-sales_data_1[[#This Row],[Unit_Cost]]</f>
        <v>339.27</v>
      </c>
      <c r="O745">
        <f>sales_data_1[[#This Row],[Unit_Price]]*sales_data_1[[#This Row],[Quantity_Sold]]</f>
        <v>135165.81</v>
      </c>
      <c r="P745">
        <f>sales_data_1[[#This Row],[Unit - cost]]*sales_data_1[[#This Row],[Quantity_Sold]]</f>
        <v>13231.529999999999</v>
      </c>
    </row>
    <row r="746" spans="1:16" x14ac:dyDescent="0.3">
      <c r="A746">
        <v>1074</v>
      </c>
      <c r="B746" s="1">
        <v>44972</v>
      </c>
      <c r="C746" t="s">
        <v>41</v>
      </c>
      <c r="D746" t="s">
        <v>24</v>
      </c>
      <c r="E746">
        <v>31</v>
      </c>
      <c r="F746" t="s">
        <v>15</v>
      </c>
      <c r="G746">
        <v>1138.32</v>
      </c>
      <c r="H746">
        <v>1266.25</v>
      </c>
      <c r="I746" t="s">
        <v>16</v>
      </c>
      <c r="J746">
        <v>0.14000000000000001</v>
      </c>
      <c r="K746" t="s">
        <v>17</v>
      </c>
      <c r="L746" t="s">
        <v>21</v>
      </c>
      <c r="M746" t="s">
        <v>42</v>
      </c>
      <c r="N746">
        <f>sales_data_1[[#This Row],[Unit_Price]]-sales_data_1[[#This Row],[Unit_Cost]]</f>
        <v>127.93000000000006</v>
      </c>
      <c r="O746">
        <f>sales_data_1[[#This Row],[Unit_Price]]*sales_data_1[[#This Row],[Quantity_Sold]]</f>
        <v>39253.75</v>
      </c>
      <c r="P746">
        <f>sales_data_1[[#This Row],[Unit - cost]]*sales_data_1[[#This Row],[Quantity_Sold]]</f>
        <v>3965.8300000000017</v>
      </c>
    </row>
    <row r="747" spans="1:16" x14ac:dyDescent="0.3">
      <c r="A747">
        <v>1096</v>
      </c>
      <c r="B747" s="1">
        <v>45081</v>
      </c>
      <c r="C747" t="s">
        <v>13</v>
      </c>
      <c r="D747" t="s">
        <v>24</v>
      </c>
      <c r="E747">
        <v>14</v>
      </c>
      <c r="F747" t="s">
        <v>15</v>
      </c>
      <c r="G747">
        <v>2251.9499999999998</v>
      </c>
      <c r="H747">
        <v>2626.3199999999997</v>
      </c>
      <c r="I747" t="s">
        <v>16</v>
      </c>
      <c r="J747">
        <v>0.21</v>
      </c>
      <c r="K747" t="s">
        <v>30</v>
      </c>
      <c r="L747" t="s">
        <v>18</v>
      </c>
      <c r="M747" t="s">
        <v>31</v>
      </c>
      <c r="N747">
        <f>sales_data_1[[#This Row],[Unit_Price]]-sales_data_1[[#This Row],[Unit_Cost]]</f>
        <v>374.36999999999989</v>
      </c>
      <c r="O747">
        <f>sales_data_1[[#This Row],[Unit_Price]]*sales_data_1[[#This Row],[Quantity_Sold]]</f>
        <v>36768.479999999996</v>
      </c>
      <c r="P747">
        <f>sales_data_1[[#This Row],[Unit - cost]]*sales_data_1[[#This Row],[Quantity_Sold]]</f>
        <v>5241.1799999999985</v>
      </c>
    </row>
    <row r="748" spans="1:16" x14ac:dyDescent="0.3">
      <c r="A748">
        <v>1016</v>
      </c>
      <c r="B748" s="1">
        <v>45039</v>
      </c>
      <c r="C748" t="s">
        <v>23</v>
      </c>
      <c r="D748" t="s">
        <v>24</v>
      </c>
      <c r="E748">
        <v>6</v>
      </c>
      <c r="F748" t="s">
        <v>15</v>
      </c>
      <c r="G748">
        <v>4502.09</v>
      </c>
      <c r="H748">
        <v>4879.72</v>
      </c>
      <c r="I748" t="s">
        <v>29</v>
      </c>
      <c r="J748">
        <v>0.13</v>
      </c>
      <c r="K748" t="s">
        <v>30</v>
      </c>
      <c r="L748" t="s">
        <v>18</v>
      </c>
      <c r="M748" t="s">
        <v>27</v>
      </c>
      <c r="N748">
        <f>sales_data_1[[#This Row],[Unit_Price]]-sales_data_1[[#This Row],[Unit_Cost]]</f>
        <v>377.63000000000011</v>
      </c>
      <c r="O748">
        <f>sales_data_1[[#This Row],[Unit_Price]]*sales_data_1[[#This Row],[Quantity_Sold]]</f>
        <v>29278.32</v>
      </c>
      <c r="P748">
        <f>sales_data_1[[#This Row],[Unit - cost]]*sales_data_1[[#This Row],[Quantity_Sold]]</f>
        <v>2265.7800000000007</v>
      </c>
    </row>
    <row r="749" spans="1:16" x14ac:dyDescent="0.3">
      <c r="A749">
        <v>1072</v>
      </c>
      <c r="B749" s="1">
        <v>45159</v>
      </c>
      <c r="C749" t="s">
        <v>41</v>
      </c>
      <c r="D749" t="s">
        <v>20</v>
      </c>
      <c r="E749">
        <v>12</v>
      </c>
      <c r="F749" t="s">
        <v>28</v>
      </c>
      <c r="G749">
        <v>710.99</v>
      </c>
      <c r="H749">
        <v>876.46</v>
      </c>
      <c r="I749" t="s">
        <v>16</v>
      </c>
      <c r="J749">
        <v>0.03</v>
      </c>
      <c r="K749" t="s">
        <v>30</v>
      </c>
      <c r="L749" t="s">
        <v>18</v>
      </c>
      <c r="M749" t="s">
        <v>50</v>
      </c>
      <c r="N749">
        <f>sales_data_1[[#This Row],[Unit_Price]]-sales_data_1[[#This Row],[Unit_Cost]]</f>
        <v>165.47000000000003</v>
      </c>
      <c r="O749">
        <f>sales_data_1[[#This Row],[Unit_Price]]*sales_data_1[[#This Row],[Quantity_Sold]]</f>
        <v>10517.52</v>
      </c>
      <c r="P749">
        <f>sales_data_1[[#This Row],[Unit - cost]]*sales_data_1[[#This Row],[Quantity_Sold]]</f>
        <v>1985.6400000000003</v>
      </c>
    </row>
    <row r="750" spans="1:16" x14ac:dyDescent="0.3">
      <c r="A750">
        <v>1076</v>
      </c>
      <c r="B750" s="1">
        <v>44943</v>
      </c>
      <c r="C750" t="s">
        <v>32</v>
      </c>
      <c r="D750" t="s">
        <v>24</v>
      </c>
      <c r="E750">
        <v>16</v>
      </c>
      <c r="F750" t="s">
        <v>28</v>
      </c>
      <c r="G750">
        <v>1964.15</v>
      </c>
      <c r="H750">
        <v>2211.17</v>
      </c>
      <c r="I750" t="s">
        <v>16</v>
      </c>
      <c r="J750">
        <v>0.21</v>
      </c>
      <c r="K750" t="s">
        <v>26</v>
      </c>
      <c r="L750" t="s">
        <v>18</v>
      </c>
      <c r="M750" t="s">
        <v>43</v>
      </c>
      <c r="N750">
        <f>sales_data_1[[#This Row],[Unit_Price]]-sales_data_1[[#This Row],[Unit_Cost]]</f>
        <v>247.01999999999998</v>
      </c>
      <c r="O750">
        <f>sales_data_1[[#This Row],[Unit_Price]]*sales_data_1[[#This Row],[Quantity_Sold]]</f>
        <v>35378.720000000001</v>
      </c>
      <c r="P750">
        <f>sales_data_1[[#This Row],[Unit - cost]]*sales_data_1[[#This Row],[Quantity_Sold]]</f>
        <v>3952.3199999999997</v>
      </c>
    </row>
    <row r="751" spans="1:16" x14ac:dyDescent="0.3">
      <c r="A751">
        <v>1024</v>
      </c>
      <c r="B751" s="1">
        <v>45286</v>
      </c>
      <c r="C751" t="s">
        <v>23</v>
      </c>
      <c r="D751" t="s">
        <v>14</v>
      </c>
      <c r="E751">
        <v>17</v>
      </c>
      <c r="F751" t="s">
        <v>15</v>
      </c>
      <c r="G751">
        <v>4114.66</v>
      </c>
      <c r="H751">
        <v>4269.0199999999995</v>
      </c>
      <c r="I751" t="s">
        <v>16</v>
      </c>
      <c r="J751">
        <v>0.27</v>
      </c>
      <c r="K751" t="s">
        <v>26</v>
      </c>
      <c r="L751" t="s">
        <v>21</v>
      </c>
      <c r="M751" t="s">
        <v>44</v>
      </c>
      <c r="N751">
        <f>sales_data_1[[#This Row],[Unit_Price]]-sales_data_1[[#This Row],[Unit_Cost]]</f>
        <v>154.35999999999967</v>
      </c>
      <c r="O751">
        <f>sales_data_1[[#This Row],[Unit_Price]]*sales_data_1[[#This Row],[Quantity_Sold]]</f>
        <v>72573.34</v>
      </c>
      <c r="P751">
        <f>sales_data_1[[#This Row],[Unit - cost]]*sales_data_1[[#This Row],[Quantity_Sold]]</f>
        <v>2624.1199999999944</v>
      </c>
    </row>
    <row r="752" spans="1:16" x14ac:dyDescent="0.3">
      <c r="A752">
        <v>1028</v>
      </c>
      <c r="B752" s="1">
        <v>45149</v>
      </c>
      <c r="C752" t="s">
        <v>32</v>
      </c>
      <c r="D752" t="s">
        <v>20</v>
      </c>
      <c r="E752">
        <v>45</v>
      </c>
      <c r="F752" t="s">
        <v>28</v>
      </c>
      <c r="G752">
        <v>4848.9799999999996</v>
      </c>
      <c r="H752">
        <v>4985.75</v>
      </c>
      <c r="I752" t="s">
        <v>16</v>
      </c>
      <c r="J752">
        <v>0.2</v>
      </c>
      <c r="K752" t="s">
        <v>26</v>
      </c>
      <c r="L752" t="s">
        <v>18</v>
      </c>
      <c r="M752" t="s">
        <v>36</v>
      </c>
      <c r="N752">
        <f>sales_data_1[[#This Row],[Unit_Price]]-sales_data_1[[#This Row],[Unit_Cost]]</f>
        <v>136.77000000000044</v>
      </c>
      <c r="O752">
        <f>sales_data_1[[#This Row],[Unit_Price]]*sales_data_1[[#This Row],[Quantity_Sold]]</f>
        <v>224358.75</v>
      </c>
      <c r="P752">
        <f>sales_data_1[[#This Row],[Unit - cost]]*sales_data_1[[#This Row],[Quantity_Sold]]</f>
        <v>6154.6500000000196</v>
      </c>
    </row>
    <row r="753" spans="1:16" x14ac:dyDescent="0.3">
      <c r="A753">
        <v>1008</v>
      </c>
      <c r="B753" s="1">
        <v>45280</v>
      </c>
      <c r="C753" t="s">
        <v>32</v>
      </c>
      <c r="D753" t="s">
        <v>20</v>
      </c>
      <c r="E753">
        <v>23</v>
      </c>
      <c r="F753" t="s">
        <v>28</v>
      </c>
      <c r="G753">
        <v>2296.9299999999998</v>
      </c>
      <c r="H753">
        <v>2319.62</v>
      </c>
      <c r="I753" t="s">
        <v>16</v>
      </c>
      <c r="J753">
        <v>0.23</v>
      </c>
      <c r="K753" t="s">
        <v>26</v>
      </c>
      <c r="L753" t="s">
        <v>21</v>
      </c>
      <c r="M753" t="s">
        <v>36</v>
      </c>
      <c r="N753">
        <f>sales_data_1[[#This Row],[Unit_Price]]-sales_data_1[[#This Row],[Unit_Cost]]</f>
        <v>22.690000000000055</v>
      </c>
      <c r="O753">
        <f>sales_data_1[[#This Row],[Unit_Price]]*sales_data_1[[#This Row],[Quantity_Sold]]</f>
        <v>53351.259999999995</v>
      </c>
      <c r="P753">
        <f>sales_data_1[[#This Row],[Unit - cost]]*sales_data_1[[#This Row],[Quantity_Sold]]</f>
        <v>521.87000000000126</v>
      </c>
    </row>
    <row r="754" spans="1:16" x14ac:dyDescent="0.3">
      <c r="A754">
        <v>1092</v>
      </c>
      <c r="B754" s="1">
        <v>45114</v>
      </c>
      <c r="C754" t="s">
        <v>41</v>
      </c>
      <c r="D754" t="s">
        <v>24</v>
      </c>
      <c r="E754">
        <v>14</v>
      </c>
      <c r="F754" t="s">
        <v>15</v>
      </c>
      <c r="G754">
        <v>2559.65</v>
      </c>
      <c r="H754">
        <v>2709.4</v>
      </c>
      <c r="I754" t="s">
        <v>16</v>
      </c>
      <c r="J754">
        <v>0.11</v>
      </c>
      <c r="K754" t="s">
        <v>30</v>
      </c>
      <c r="L754" t="s">
        <v>21</v>
      </c>
      <c r="M754" t="s">
        <v>42</v>
      </c>
      <c r="N754">
        <f>sales_data_1[[#This Row],[Unit_Price]]-sales_data_1[[#This Row],[Unit_Cost]]</f>
        <v>149.75</v>
      </c>
      <c r="O754">
        <f>sales_data_1[[#This Row],[Unit_Price]]*sales_data_1[[#This Row],[Quantity_Sold]]</f>
        <v>37931.599999999999</v>
      </c>
      <c r="P754">
        <f>sales_data_1[[#This Row],[Unit - cost]]*sales_data_1[[#This Row],[Quantity_Sold]]</f>
        <v>2096.5</v>
      </c>
    </row>
    <row r="755" spans="1:16" x14ac:dyDescent="0.3">
      <c r="A755">
        <v>1036</v>
      </c>
      <c r="B755" s="1">
        <v>45270</v>
      </c>
      <c r="C755" t="s">
        <v>23</v>
      </c>
      <c r="D755" t="s">
        <v>14</v>
      </c>
      <c r="E755">
        <v>7</v>
      </c>
      <c r="F755" t="s">
        <v>25</v>
      </c>
      <c r="G755">
        <v>2882.25</v>
      </c>
      <c r="H755">
        <v>3163.7</v>
      </c>
      <c r="I755" t="s">
        <v>16</v>
      </c>
      <c r="J755">
        <v>0.05</v>
      </c>
      <c r="K755" t="s">
        <v>17</v>
      </c>
      <c r="L755" t="s">
        <v>21</v>
      </c>
      <c r="M755" t="s">
        <v>44</v>
      </c>
      <c r="N755">
        <f>sales_data_1[[#This Row],[Unit_Price]]-sales_data_1[[#This Row],[Unit_Cost]]</f>
        <v>281.44999999999982</v>
      </c>
      <c r="O755">
        <f>sales_data_1[[#This Row],[Unit_Price]]*sales_data_1[[#This Row],[Quantity_Sold]]</f>
        <v>22145.899999999998</v>
      </c>
      <c r="P755">
        <f>sales_data_1[[#This Row],[Unit - cost]]*sales_data_1[[#This Row],[Quantity_Sold]]</f>
        <v>1970.1499999999987</v>
      </c>
    </row>
    <row r="756" spans="1:16" x14ac:dyDescent="0.3">
      <c r="A756">
        <v>1090</v>
      </c>
      <c r="B756" s="1">
        <v>45291</v>
      </c>
      <c r="C756" t="s">
        <v>37</v>
      </c>
      <c r="D756" t="s">
        <v>20</v>
      </c>
      <c r="E756">
        <v>46</v>
      </c>
      <c r="F756" t="s">
        <v>28</v>
      </c>
      <c r="G756">
        <v>4665.12</v>
      </c>
      <c r="H756">
        <v>4675.8999999999996</v>
      </c>
      <c r="I756" t="s">
        <v>29</v>
      </c>
      <c r="J756">
        <v>0.19</v>
      </c>
      <c r="K756" t="s">
        <v>17</v>
      </c>
      <c r="L756" t="s">
        <v>21</v>
      </c>
      <c r="M756" t="s">
        <v>40</v>
      </c>
      <c r="N756">
        <f>sales_data_1[[#This Row],[Unit_Price]]-sales_data_1[[#This Row],[Unit_Cost]]</f>
        <v>10.779999999999745</v>
      </c>
      <c r="O756">
        <f>sales_data_1[[#This Row],[Unit_Price]]*sales_data_1[[#This Row],[Quantity_Sold]]</f>
        <v>215091.4</v>
      </c>
      <c r="P756">
        <f>sales_data_1[[#This Row],[Unit - cost]]*sales_data_1[[#This Row],[Quantity_Sold]]</f>
        <v>495.87999999998829</v>
      </c>
    </row>
    <row r="757" spans="1:16" x14ac:dyDescent="0.3">
      <c r="A757">
        <v>1008</v>
      </c>
      <c r="B757" s="1">
        <v>45089</v>
      </c>
      <c r="C757" t="s">
        <v>41</v>
      </c>
      <c r="D757" t="s">
        <v>33</v>
      </c>
      <c r="E757">
        <v>32</v>
      </c>
      <c r="F757" t="s">
        <v>25</v>
      </c>
      <c r="G757">
        <v>4298.12</v>
      </c>
      <c r="H757">
        <v>4446.8999999999996</v>
      </c>
      <c r="I757" t="s">
        <v>29</v>
      </c>
      <c r="J757">
        <v>0.1</v>
      </c>
      <c r="K757" t="s">
        <v>26</v>
      </c>
      <c r="L757" t="s">
        <v>18</v>
      </c>
      <c r="M757" t="s">
        <v>51</v>
      </c>
      <c r="N757">
        <f>sales_data_1[[#This Row],[Unit_Price]]-sales_data_1[[#This Row],[Unit_Cost]]</f>
        <v>148.77999999999975</v>
      </c>
      <c r="O757">
        <f>sales_data_1[[#This Row],[Unit_Price]]*sales_data_1[[#This Row],[Quantity_Sold]]</f>
        <v>142300.79999999999</v>
      </c>
      <c r="P757">
        <f>sales_data_1[[#This Row],[Unit - cost]]*sales_data_1[[#This Row],[Quantity_Sold]]</f>
        <v>4760.9599999999919</v>
      </c>
    </row>
    <row r="758" spans="1:16" x14ac:dyDescent="0.3">
      <c r="A758">
        <v>1058</v>
      </c>
      <c r="B758" s="1">
        <v>45252</v>
      </c>
      <c r="C758" t="s">
        <v>41</v>
      </c>
      <c r="D758" t="s">
        <v>20</v>
      </c>
      <c r="E758">
        <v>15</v>
      </c>
      <c r="F758" t="s">
        <v>28</v>
      </c>
      <c r="G758">
        <v>894.48</v>
      </c>
      <c r="H758">
        <v>1336.37</v>
      </c>
      <c r="I758" t="s">
        <v>16</v>
      </c>
      <c r="J758">
        <v>0.26</v>
      </c>
      <c r="K758" t="s">
        <v>17</v>
      </c>
      <c r="L758" t="s">
        <v>21</v>
      </c>
      <c r="M758" t="s">
        <v>50</v>
      </c>
      <c r="N758">
        <f>sales_data_1[[#This Row],[Unit_Price]]-sales_data_1[[#This Row],[Unit_Cost]]</f>
        <v>441.88999999999987</v>
      </c>
      <c r="O758">
        <f>sales_data_1[[#This Row],[Unit_Price]]*sales_data_1[[#This Row],[Quantity_Sold]]</f>
        <v>20045.55</v>
      </c>
      <c r="P758">
        <f>sales_data_1[[#This Row],[Unit - cost]]*sales_data_1[[#This Row],[Quantity_Sold]]</f>
        <v>6628.3499999999985</v>
      </c>
    </row>
    <row r="759" spans="1:16" x14ac:dyDescent="0.3">
      <c r="A759">
        <v>1060</v>
      </c>
      <c r="B759" s="1">
        <v>45000</v>
      </c>
      <c r="C759" t="s">
        <v>23</v>
      </c>
      <c r="D759" t="s">
        <v>24</v>
      </c>
      <c r="E759">
        <v>44</v>
      </c>
      <c r="F759" t="s">
        <v>28</v>
      </c>
      <c r="G759">
        <v>2211.9499999999998</v>
      </c>
      <c r="H759">
        <v>2512.8399999999997</v>
      </c>
      <c r="I759" t="s">
        <v>16</v>
      </c>
      <c r="J759">
        <v>0.04</v>
      </c>
      <c r="K759" t="s">
        <v>17</v>
      </c>
      <c r="L759" t="s">
        <v>18</v>
      </c>
      <c r="M759" t="s">
        <v>27</v>
      </c>
      <c r="N759">
        <f>sales_data_1[[#This Row],[Unit_Price]]-sales_data_1[[#This Row],[Unit_Cost]]</f>
        <v>300.88999999999987</v>
      </c>
      <c r="O759">
        <f>sales_data_1[[#This Row],[Unit_Price]]*sales_data_1[[#This Row],[Quantity_Sold]]</f>
        <v>110564.95999999999</v>
      </c>
      <c r="P759">
        <f>sales_data_1[[#This Row],[Unit - cost]]*sales_data_1[[#This Row],[Quantity_Sold]]</f>
        <v>13239.159999999994</v>
      </c>
    </row>
    <row r="760" spans="1:16" x14ac:dyDescent="0.3">
      <c r="A760">
        <v>1050</v>
      </c>
      <c r="B760" s="1">
        <v>45159</v>
      </c>
      <c r="C760" t="s">
        <v>23</v>
      </c>
      <c r="D760" t="s">
        <v>14</v>
      </c>
      <c r="E760">
        <v>17</v>
      </c>
      <c r="F760" t="s">
        <v>15</v>
      </c>
      <c r="G760">
        <v>2346.8000000000002</v>
      </c>
      <c r="H760">
        <v>2654.65</v>
      </c>
      <c r="I760" t="s">
        <v>29</v>
      </c>
      <c r="J760">
        <v>0.13</v>
      </c>
      <c r="K760" t="s">
        <v>17</v>
      </c>
      <c r="L760" t="s">
        <v>21</v>
      </c>
      <c r="M760" t="s">
        <v>44</v>
      </c>
      <c r="N760">
        <f>sales_data_1[[#This Row],[Unit_Price]]-sales_data_1[[#This Row],[Unit_Cost]]</f>
        <v>307.84999999999991</v>
      </c>
      <c r="O760">
        <f>sales_data_1[[#This Row],[Unit_Price]]*sales_data_1[[#This Row],[Quantity_Sold]]</f>
        <v>45129.05</v>
      </c>
      <c r="P760">
        <f>sales_data_1[[#This Row],[Unit - cost]]*sales_data_1[[#This Row],[Quantity_Sold]]</f>
        <v>5233.4499999999989</v>
      </c>
    </row>
    <row r="761" spans="1:16" x14ac:dyDescent="0.3">
      <c r="A761">
        <v>1028</v>
      </c>
      <c r="B761" s="1">
        <v>45150</v>
      </c>
      <c r="C761" t="s">
        <v>32</v>
      </c>
      <c r="D761" t="s">
        <v>24</v>
      </c>
      <c r="E761">
        <v>41</v>
      </c>
      <c r="F761" t="s">
        <v>28</v>
      </c>
      <c r="G761">
        <v>3956.03</v>
      </c>
      <c r="H761">
        <v>4163.68</v>
      </c>
      <c r="I761" t="s">
        <v>29</v>
      </c>
      <c r="J761">
        <v>0.12</v>
      </c>
      <c r="K761" t="s">
        <v>26</v>
      </c>
      <c r="L761" t="s">
        <v>21</v>
      </c>
      <c r="M761" t="s">
        <v>43</v>
      </c>
      <c r="N761">
        <f>sales_data_1[[#This Row],[Unit_Price]]-sales_data_1[[#This Row],[Unit_Cost]]</f>
        <v>207.65000000000009</v>
      </c>
      <c r="O761">
        <f>sales_data_1[[#This Row],[Unit_Price]]*sales_data_1[[#This Row],[Quantity_Sold]]</f>
        <v>170710.88</v>
      </c>
      <c r="P761">
        <f>sales_data_1[[#This Row],[Unit - cost]]*sales_data_1[[#This Row],[Quantity_Sold]]</f>
        <v>8513.6500000000033</v>
      </c>
    </row>
    <row r="762" spans="1:16" x14ac:dyDescent="0.3">
      <c r="A762">
        <v>1092</v>
      </c>
      <c r="B762" s="1">
        <v>45245</v>
      </c>
      <c r="C762" t="s">
        <v>23</v>
      </c>
      <c r="D762" t="s">
        <v>33</v>
      </c>
      <c r="E762">
        <v>47</v>
      </c>
      <c r="F762" t="s">
        <v>34</v>
      </c>
      <c r="G762">
        <v>3034.32</v>
      </c>
      <c r="H762">
        <v>3375.79</v>
      </c>
      <c r="I762" t="s">
        <v>29</v>
      </c>
      <c r="J762">
        <v>0.28000000000000003</v>
      </c>
      <c r="K762" t="s">
        <v>30</v>
      </c>
      <c r="L762" t="s">
        <v>18</v>
      </c>
      <c r="M762" t="s">
        <v>49</v>
      </c>
      <c r="N762">
        <f>sales_data_1[[#This Row],[Unit_Price]]-sales_data_1[[#This Row],[Unit_Cost]]</f>
        <v>341.4699999999998</v>
      </c>
      <c r="O762">
        <f>sales_data_1[[#This Row],[Unit_Price]]*sales_data_1[[#This Row],[Quantity_Sold]]</f>
        <v>158662.13</v>
      </c>
      <c r="P762">
        <f>sales_data_1[[#This Row],[Unit - cost]]*sales_data_1[[#This Row],[Quantity_Sold]]</f>
        <v>16049.089999999991</v>
      </c>
    </row>
    <row r="763" spans="1:16" x14ac:dyDescent="0.3">
      <c r="A763">
        <v>1041</v>
      </c>
      <c r="B763" s="1">
        <v>44986</v>
      </c>
      <c r="C763" t="s">
        <v>32</v>
      </c>
      <c r="D763" t="s">
        <v>33</v>
      </c>
      <c r="E763">
        <v>44</v>
      </c>
      <c r="F763" t="s">
        <v>34</v>
      </c>
      <c r="G763">
        <v>3288.39</v>
      </c>
      <c r="H763">
        <v>3391.46</v>
      </c>
      <c r="I763" t="s">
        <v>29</v>
      </c>
      <c r="J763">
        <v>0.05</v>
      </c>
      <c r="K763" t="s">
        <v>30</v>
      </c>
      <c r="L763" t="s">
        <v>21</v>
      </c>
      <c r="M763" t="s">
        <v>35</v>
      </c>
      <c r="N763">
        <f>sales_data_1[[#This Row],[Unit_Price]]-sales_data_1[[#This Row],[Unit_Cost]]</f>
        <v>103.07000000000016</v>
      </c>
      <c r="O763">
        <f>sales_data_1[[#This Row],[Unit_Price]]*sales_data_1[[#This Row],[Quantity_Sold]]</f>
        <v>149224.24</v>
      </c>
      <c r="P763">
        <f>sales_data_1[[#This Row],[Unit - cost]]*sales_data_1[[#This Row],[Quantity_Sold]]</f>
        <v>4535.0800000000072</v>
      </c>
    </row>
    <row r="764" spans="1:16" x14ac:dyDescent="0.3">
      <c r="A764">
        <v>1100</v>
      </c>
      <c r="B764" s="1">
        <v>45261</v>
      </c>
      <c r="C764" t="s">
        <v>41</v>
      </c>
      <c r="D764" t="s">
        <v>33</v>
      </c>
      <c r="E764">
        <v>34</v>
      </c>
      <c r="F764" t="s">
        <v>15</v>
      </c>
      <c r="G764">
        <v>4991.09</v>
      </c>
      <c r="H764">
        <v>5402.28</v>
      </c>
      <c r="I764" t="s">
        <v>16</v>
      </c>
      <c r="J764">
        <v>0</v>
      </c>
      <c r="K764" t="s">
        <v>17</v>
      </c>
      <c r="L764" t="s">
        <v>21</v>
      </c>
      <c r="M764" t="s">
        <v>51</v>
      </c>
      <c r="N764">
        <f>sales_data_1[[#This Row],[Unit_Price]]-sales_data_1[[#This Row],[Unit_Cost]]</f>
        <v>411.1899999999996</v>
      </c>
      <c r="O764">
        <f>sales_data_1[[#This Row],[Unit_Price]]*sales_data_1[[#This Row],[Quantity_Sold]]</f>
        <v>183677.52</v>
      </c>
      <c r="P764">
        <f>sales_data_1[[#This Row],[Unit - cost]]*sales_data_1[[#This Row],[Quantity_Sold]]</f>
        <v>13980.459999999986</v>
      </c>
    </row>
    <row r="765" spans="1:16" x14ac:dyDescent="0.3">
      <c r="A765">
        <v>1064</v>
      </c>
      <c r="B765" s="1">
        <v>45148</v>
      </c>
      <c r="C765" t="s">
        <v>13</v>
      </c>
      <c r="D765" t="s">
        <v>24</v>
      </c>
      <c r="E765">
        <v>5</v>
      </c>
      <c r="F765" t="s">
        <v>25</v>
      </c>
      <c r="G765">
        <v>421.05</v>
      </c>
      <c r="H765">
        <v>488.23</v>
      </c>
      <c r="I765" t="s">
        <v>16</v>
      </c>
      <c r="J765">
        <v>7.0000000000000007E-2</v>
      </c>
      <c r="K765" t="s">
        <v>30</v>
      </c>
      <c r="L765" t="s">
        <v>21</v>
      </c>
      <c r="M765" t="s">
        <v>31</v>
      </c>
      <c r="N765">
        <f>sales_data_1[[#This Row],[Unit_Price]]-sales_data_1[[#This Row],[Unit_Cost]]</f>
        <v>67.180000000000007</v>
      </c>
      <c r="O765">
        <f>sales_data_1[[#This Row],[Unit_Price]]*sales_data_1[[#This Row],[Quantity_Sold]]</f>
        <v>2441.15</v>
      </c>
      <c r="P765">
        <f>sales_data_1[[#This Row],[Unit - cost]]*sales_data_1[[#This Row],[Quantity_Sold]]</f>
        <v>335.90000000000003</v>
      </c>
    </row>
    <row r="766" spans="1:16" x14ac:dyDescent="0.3">
      <c r="A766">
        <v>1027</v>
      </c>
      <c r="B766" s="1">
        <v>44963</v>
      </c>
      <c r="C766" t="s">
        <v>37</v>
      </c>
      <c r="D766" t="s">
        <v>20</v>
      </c>
      <c r="E766">
        <v>45</v>
      </c>
      <c r="F766" t="s">
        <v>25</v>
      </c>
      <c r="G766">
        <v>1153.9000000000001</v>
      </c>
      <c r="H766">
        <v>1485.3400000000001</v>
      </c>
      <c r="I766" t="s">
        <v>29</v>
      </c>
      <c r="J766">
        <v>0.25</v>
      </c>
      <c r="K766" t="s">
        <v>30</v>
      </c>
      <c r="L766" t="s">
        <v>21</v>
      </c>
      <c r="M766" t="s">
        <v>40</v>
      </c>
      <c r="N766">
        <f>sales_data_1[[#This Row],[Unit_Price]]-sales_data_1[[#This Row],[Unit_Cost]]</f>
        <v>331.44000000000005</v>
      </c>
      <c r="O766">
        <f>sales_data_1[[#This Row],[Unit_Price]]*sales_data_1[[#This Row],[Quantity_Sold]]</f>
        <v>66840.3</v>
      </c>
      <c r="P766">
        <f>sales_data_1[[#This Row],[Unit - cost]]*sales_data_1[[#This Row],[Quantity_Sold]]</f>
        <v>14914.800000000003</v>
      </c>
    </row>
    <row r="767" spans="1:16" x14ac:dyDescent="0.3">
      <c r="A767">
        <v>1063</v>
      </c>
      <c r="B767" s="1">
        <v>45204</v>
      </c>
      <c r="C767" t="s">
        <v>41</v>
      </c>
      <c r="D767" t="s">
        <v>24</v>
      </c>
      <c r="E767">
        <v>27</v>
      </c>
      <c r="F767" t="s">
        <v>25</v>
      </c>
      <c r="G767">
        <v>2069.08</v>
      </c>
      <c r="H767">
        <v>2246.2399999999998</v>
      </c>
      <c r="I767" t="s">
        <v>29</v>
      </c>
      <c r="J767">
        <v>0.06</v>
      </c>
      <c r="K767" t="s">
        <v>26</v>
      </c>
      <c r="L767" t="s">
        <v>21</v>
      </c>
      <c r="M767" t="s">
        <v>42</v>
      </c>
      <c r="N767">
        <f>sales_data_1[[#This Row],[Unit_Price]]-sales_data_1[[#This Row],[Unit_Cost]]</f>
        <v>177.15999999999985</v>
      </c>
      <c r="O767">
        <f>sales_data_1[[#This Row],[Unit_Price]]*sales_data_1[[#This Row],[Quantity_Sold]]</f>
        <v>60648.479999999996</v>
      </c>
      <c r="P767">
        <f>sales_data_1[[#This Row],[Unit - cost]]*sales_data_1[[#This Row],[Quantity_Sold]]</f>
        <v>4783.3199999999961</v>
      </c>
    </row>
    <row r="768" spans="1:16" x14ac:dyDescent="0.3">
      <c r="A768">
        <v>1017</v>
      </c>
      <c r="B768" s="1">
        <v>45122</v>
      </c>
      <c r="C768" t="s">
        <v>23</v>
      </c>
      <c r="D768" t="s">
        <v>14</v>
      </c>
      <c r="E768">
        <v>23</v>
      </c>
      <c r="F768" t="s">
        <v>34</v>
      </c>
      <c r="G768">
        <v>1771.52</v>
      </c>
      <c r="H768">
        <v>2147.8000000000002</v>
      </c>
      <c r="I768" t="s">
        <v>29</v>
      </c>
      <c r="J768">
        <v>7.0000000000000007E-2</v>
      </c>
      <c r="K768" t="s">
        <v>26</v>
      </c>
      <c r="L768" t="s">
        <v>18</v>
      </c>
      <c r="M768" t="s">
        <v>44</v>
      </c>
      <c r="N768">
        <f>sales_data_1[[#This Row],[Unit_Price]]-sales_data_1[[#This Row],[Unit_Cost]]</f>
        <v>376.2800000000002</v>
      </c>
      <c r="O768">
        <f>sales_data_1[[#This Row],[Unit_Price]]*sales_data_1[[#This Row],[Quantity_Sold]]</f>
        <v>49399.4</v>
      </c>
      <c r="P768">
        <f>sales_data_1[[#This Row],[Unit - cost]]*sales_data_1[[#This Row],[Quantity_Sold]]</f>
        <v>8654.4400000000041</v>
      </c>
    </row>
    <row r="769" spans="1:16" x14ac:dyDescent="0.3">
      <c r="A769">
        <v>1073</v>
      </c>
      <c r="B769" s="1">
        <v>45278</v>
      </c>
      <c r="C769" t="s">
        <v>37</v>
      </c>
      <c r="D769" t="s">
        <v>20</v>
      </c>
      <c r="E769">
        <v>40</v>
      </c>
      <c r="F769" t="s">
        <v>25</v>
      </c>
      <c r="G769">
        <v>157.15</v>
      </c>
      <c r="H769">
        <v>436.53</v>
      </c>
      <c r="I769" t="s">
        <v>29</v>
      </c>
      <c r="J769">
        <v>0.04</v>
      </c>
      <c r="K769" t="s">
        <v>17</v>
      </c>
      <c r="L769" t="s">
        <v>21</v>
      </c>
      <c r="M769" t="s">
        <v>40</v>
      </c>
      <c r="N769">
        <f>sales_data_1[[#This Row],[Unit_Price]]-sales_data_1[[#This Row],[Unit_Cost]]</f>
        <v>279.38</v>
      </c>
      <c r="O769">
        <f>sales_data_1[[#This Row],[Unit_Price]]*sales_data_1[[#This Row],[Quantity_Sold]]</f>
        <v>17461.199999999997</v>
      </c>
      <c r="P769">
        <f>sales_data_1[[#This Row],[Unit - cost]]*sales_data_1[[#This Row],[Quantity_Sold]]</f>
        <v>11175.2</v>
      </c>
    </row>
    <row r="770" spans="1:16" x14ac:dyDescent="0.3">
      <c r="A770">
        <v>1033</v>
      </c>
      <c r="B770" s="1">
        <v>45168</v>
      </c>
      <c r="C770" t="s">
        <v>13</v>
      </c>
      <c r="D770" t="s">
        <v>33</v>
      </c>
      <c r="E770">
        <v>14</v>
      </c>
      <c r="F770" t="s">
        <v>25</v>
      </c>
      <c r="G770">
        <v>504.3</v>
      </c>
      <c r="H770">
        <v>735.95</v>
      </c>
      <c r="I770" t="s">
        <v>16</v>
      </c>
      <c r="J770">
        <v>0.21</v>
      </c>
      <c r="K770" t="s">
        <v>17</v>
      </c>
      <c r="L770" t="s">
        <v>21</v>
      </c>
      <c r="M770" t="s">
        <v>45</v>
      </c>
      <c r="N770">
        <f>sales_data_1[[#This Row],[Unit_Price]]-sales_data_1[[#This Row],[Unit_Cost]]</f>
        <v>231.65000000000003</v>
      </c>
      <c r="O770">
        <f>sales_data_1[[#This Row],[Unit_Price]]*sales_data_1[[#This Row],[Quantity_Sold]]</f>
        <v>10303.300000000001</v>
      </c>
      <c r="P770">
        <f>sales_data_1[[#This Row],[Unit - cost]]*sales_data_1[[#This Row],[Quantity_Sold]]</f>
        <v>3243.1000000000004</v>
      </c>
    </row>
    <row r="771" spans="1:16" x14ac:dyDescent="0.3">
      <c r="A771">
        <v>1084</v>
      </c>
      <c r="B771" s="1">
        <v>45250</v>
      </c>
      <c r="C771" t="s">
        <v>13</v>
      </c>
      <c r="D771" t="s">
        <v>24</v>
      </c>
      <c r="E771">
        <v>15</v>
      </c>
      <c r="F771" t="s">
        <v>15</v>
      </c>
      <c r="G771">
        <v>3420.72</v>
      </c>
      <c r="H771">
        <v>3513.74</v>
      </c>
      <c r="I771" t="s">
        <v>29</v>
      </c>
      <c r="J771">
        <v>0.02</v>
      </c>
      <c r="K771" t="s">
        <v>17</v>
      </c>
      <c r="L771" t="s">
        <v>18</v>
      </c>
      <c r="M771" t="s">
        <v>31</v>
      </c>
      <c r="N771">
        <f>sales_data_1[[#This Row],[Unit_Price]]-sales_data_1[[#This Row],[Unit_Cost]]</f>
        <v>93.019999999999982</v>
      </c>
      <c r="O771">
        <f>sales_data_1[[#This Row],[Unit_Price]]*sales_data_1[[#This Row],[Quantity_Sold]]</f>
        <v>52706.1</v>
      </c>
      <c r="P771">
        <f>sales_data_1[[#This Row],[Unit - cost]]*sales_data_1[[#This Row],[Quantity_Sold]]</f>
        <v>1395.2999999999997</v>
      </c>
    </row>
    <row r="772" spans="1:16" x14ac:dyDescent="0.3">
      <c r="A772">
        <v>1077</v>
      </c>
      <c r="B772" s="1">
        <v>45145</v>
      </c>
      <c r="C772" t="s">
        <v>32</v>
      </c>
      <c r="D772" t="s">
        <v>33</v>
      </c>
      <c r="E772">
        <v>43</v>
      </c>
      <c r="F772" t="s">
        <v>25</v>
      </c>
      <c r="G772">
        <v>4402.66</v>
      </c>
      <c r="H772">
        <v>4724.7</v>
      </c>
      <c r="I772" t="s">
        <v>29</v>
      </c>
      <c r="J772">
        <v>0.1</v>
      </c>
      <c r="K772" t="s">
        <v>26</v>
      </c>
      <c r="L772" t="s">
        <v>21</v>
      </c>
      <c r="M772" t="s">
        <v>35</v>
      </c>
      <c r="N772">
        <f>sales_data_1[[#This Row],[Unit_Price]]-sales_data_1[[#This Row],[Unit_Cost]]</f>
        <v>322.03999999999996</v>
      </c>
      <c r="O772">
        <f>sales_data_1[[#This Row],[Unit_Price]]*sales_data_1[[#This Row],[Quantity_Sold]]</f>
        <v>203162.1</v>
      </c>
      <c r="P772">
        <f>sales_data_1[[#This Row],[Unit - cost]]*sales_data_1[[#This Row],[Quantity_Sold]]</f>
        <v>13847.719999999998</v>
      </c>
    </row>
    <row r="773" spans="1:16" x14ac:dyDescent="0.3">
      <c r="A773">
        <v>1092</v>
      </c>
      <c r="B773" s="1">
        <v>45118</v>
      </c>
      <c r="C773" t="s">
        <v>37</v>
      </c>
      <c r="D773" t="s">
        <v>33</v>
      </c>
      <c r="E773">
        <v>33</v>
      </c>
      <c r="F773" t="s">
        <v>34</v>
      </c>
      <c r="G773">
        <v>2595.42</v>
      </c>
      <c r="H773">
        <v>3083.06</v>
      </c>
      <c r="I773" t="s">
        <v>29</v>
      </c>
      <c r="J773">
        <v>0.08</v>
      </c>
      <c r="K773" t="s">
        <v>30</v>
      </c>
      <c r="L773" t="s">
        <v>18</v>
      </c>
      <c r="M773" t="s">
        <v>47</v>
      </c>
      <c r="N773">
        <f>sales_data_1[[#This Row],[Unit_Price]]-sales_data_1[[#This Row],[Unit_Cost]]</f>
        <v>487.63999999999987</v>
      </c>
      <c r="O773">
        <f>sales_data_1[[#This Row],[Unit_Price]]*sales_data_1[[#This Row],[Quantity_Sold]]</f>
        <v>101740.98</v>
      </c>
      <c r="P773">
        <f>sales_data_1[[#This Row],[Unit - cost]]*sales_data_1[[#This Row],[Quantity_Sold]]</f>
        <v>16092.119999999995</v>
      </c>
    </row>
    <row r="774" spans="1:16" x14ac:dyDescent="0.3">
      <c r="A774">
        <v>1029</v>
      </c>
      <c r="B774" s="1">
        <v>44943</v>
      </c>
      <c r="C774" t="s">
        <v>32</v>
      </c>
      <c r="D774" t="s">
        <v>14</v>
      </c>
      <c r="E774">
        <v>31</v>
      </c>
      <c r="F774" t="s">
        <v>34</v>
      </c>
      <c r="G774">
        <v>2719</v>
      </c>
      <c r="H774">
        <v>3133.55</v>
      </c>
      <c r="I774" t="s">
        <v>16</v>
      </c>
      <c r="J774">
        <v>0.17</v>
      </c>
      <c r="K774" t="s">
        <v>26</v>
      </c>
      <c r="L774" t="s">
        <v>21</v>
      </c>
      <c r="M774" t="s">
        <v>52</v>
      </c>
      <c r="N774">
        <f>sales_data_1[[#This Row],[Unit_Price]]-sales_data_1[[#This Row],[Unit_Cost]]</f>
        <v>414.55000000000018</v>
      </c>
      <c r="O774">
        <f>sales_data_1[[#This Row],[Unit_Price]]*sales_data_1[[#This Row],[Quantity_Sold]]</f>
        <v>97140.05</v>
      </c>
      <c r="P774">
        <f>sales_data_1[[#This Row],[Unit - cost]]*sales_data_1[[#This Row],[Quantity_Sold]]</f>
        <v>12851.050000000007</v>
      </c>
    </row>
    <row r="775" spans="1:16" x14ac:dyDescent="0.3">
      <c r="A775">
        <v>1013</v>
      </c>
      <c r="B775" s="1">
        <v>44938</v>
      </c>
      <c r="C775" t="s">
        <v>41</v>
      </c>
      <c r="D775" t="s">
        <v>20</v>
      </c>
      <c r="E775">
        <v>35</v>
      </c>
      <c r="F775" t="s">
        <v>34</v>
      </c>
      <c r="G775">
        <v>1312.71</v>
      </c>
      <c r="H775">
        <v>1352.1100000000001</v>
      </c>
      <c r="I775" t="s">
        <v>16</v>
      </c>
      <c r="J775">
        <v>0.22</v>
      </c>
      <c r="K775" t="s">
        <v>26</v>
      </c>
      <c r="L775" t="s">
        <v>21</v>
      </c>
      <c r="M775" t="s">
        <v>50</v>
      </c>
      <c r="N775">
        <f>sales_data_1[[#This Row],[Unit_Price]]-sales_data_1[[#This Row],[Unit_Cost]]</f>
        <v>39.400000000000091</v>
      </c>
      <c r="O775">
        <f>sales_data_1[[#This Row],[Unit_Price]]*sales_data_1[[#This Row],[Quantity_Sold]]</f>
        <v>47323.850000000006</v>
      </c>
      <c r="P775">
        <f>sales_data_1[[#This Row],[Unit - cost]]*sales_data_1[[#This Row],[Quantity_Sold]]</f>
        <v>1379.0000000000032</v>
      </c>
    </row>
    <row r="776" spans="1:16" x14ac:dyDescent="0.3">
      <c r="A776">
        <v>1046</v>
      </c>
      <c r="B776" s="1">
        <v>45119</v>
      </c>
      <c r="C776" t="s">
        <v>37</v>
      </c>
      <c r="D776" t="s">
        <v>14</v>
      </c>
      <c r="E776">
        <v>17</v>
      </c>
      <c r="F776" t="s">
        <v>15</v>
      </c>
      <c r="G776">
        <v>3850.99</v>
      </c>
      <c r="H776">
        <v>4045.3399999999997</v>
      </c>
      <c r="I776" t="s">
        <v>16</v>
      </c>
      <c r="J776">
        <v>0.16</v>
      </c>
      <c r="K776" t="s">
        <v>30</v>
      </c>
      <c r="L776" t="s">
        <v>18</v>
      </c>
      <c r="M776" t="s">
        <v>39</v>
      </c>
      <c r="N776">
        <f>sales_data_1[[#This Row],[Unit_Price]]-sales_data_1[[#This Row],[Unit_Cost]]</f>
        <v>194.34999999999991</v>
      </c>
      <c r="O776">
        <f>sales_data_1[[#This Row],[Unit_Price]]*sales_data_1[[#This Row],[Quantity_Sold]]</f>
        <v>68770.78</v>
      </c>
      <c r="P776">
        <f>sales_data_1[[#This Row],[Unit - cost]]*sales_data_1[[#This Row],[Quantity_Sold]]</f>
        <v>3303.9499999999985</v>
      </c>
    </row>
    <row r="777" spans="1:16" x14ac:dyDescent="0.3">
      <c r="A777">
        <v>1035</v>
      </c>
      <c r="B777" s="1">
        <v>44948</v>
      </c>
      <c r="C777" t="s">
        <v>41</v>
      </c>
      <c r="D777" t="s">
        <v>14</v>
      </c>
      <c r="E777">
        <v>28</v>
      </c>
      <c r="F777" t="s">
        <v>15</v>
      </c>
      <c r="G777">
        <v>3771.38</v>
      </c>
      <c r="H777">
        <v>4234.92</v>
      </c>
      <c r="I777" t="s">
        <v>29</v>
      </c>
      <c r="J777">
        <v>0.28000000000000003</v>
      </c>
      <c r="K777" t="s">
        <v>30</v>
      </c>
      <c r="L777" t="s">
        <v>21</v>
      </c>
      <c r="M777" t="s">
        <v>48</v>
      </c>
      <c r="N777">
        <f>sales_data_1[[#This Row],[Unit_Price]]-sales_data_1[[#This Row],[Unit_Cost]]</f>
        <v>463.53999999999996</v>
      </c>
      <c r="O777">
        <f>sales_data_1[[#This Row],[Unit_Price]]*sales_data_1[[#This Row],[Quantity_Sold]]</f>
        <v>118577.76000000001</v>
      </c>
      <c r="P777">
        <f>sales_data_1[[#This Row],[Unit - cost]]*sales_data_1[[#This Row],[Quantity_Sold]]</f>
        <v>12979.119999999999</v>
      </c>
    </row>
    <row r="778" spans="1:16" x14ac:dyDescent="0.3">
      <c r="A778">
        <v>1006</v>
      </c>
      <c r="B778" s="1">
        <v>45046</v>
      </c>
      <c r="C778" t="s">
        <v>32</v>
      </c>
      <c r="D778" t="s">
        <v>14</v>
      </c>
      <c r="E778">
        <v>19</v>
      </c>
      <c r="F778" t="s">
        <v>28</v>
      </c>
      <c r="G778">
        <v>2962.41</v>
      </c>
      <c r="H778">
        <v>3218.8999999999996</v>
      </c>
      <c r="I778" t="s">
        <v>29</v>
      </c>
      <c r="J778">
        <v>0.28999999999999998</v>
      </c>
      <c r="K778" t="s">
        <v>17</v>
      </c>
      <c r="L778" t="s">
        <v>21</v>
      </c>
      <c r="M778" t="s">
        <v>52</v>
      </c>
      <c r="N778">
        <f>sales_data_1[[#This Row],[Unit_Price]]-sales_data_1[[#This Row],[Unit_Cost]]</f>
        <v>256.48999999999978</v>
      </c>
      <c r="O778">
        <f>sales_data_1[[#This Row],[Unit_Price]]*sales_data_1[[#This Row],[Quantity_Sold]]</f>
        <v>61159.099999999991</v>
      </c>
      <c r="P778">
        <f>sales_data_1[[#This Row],[Unit - cost]]*sales_data_1[[#This Row],[Quantity_Sold]]</f>
        <v>4873.3099999999959</v>
      </c>
    </row>
    <row r="779" spans="1:16" x14ac:dyDescent="0.3">
      <c r="A779">
        <v>1082</v>
      </c>
      <c r="B779" s="1">
        <v>45136</v>
      </c>
      <c r="C779" t="s">
        <v>37</v>
      </c>
      <c r="D779" t="s">
        <v>33</v>
      </c>
      <c r="E779">
        <v>46</v>
      </c>
      <c r="F779" t="s">
        <v>25</v>
      </c>
      <c r="G779">
        <v>1102.69</v>
      </c>
      <c r="H779">
        <v>1437.1200000000001</v>
      </c>
      <c r="I779" t="s">
        <v>29</v>
      </c>
      <c r="J779">
        <v>0.11</v>
      </c>
      <c r="K779" t="s">
        <v>30</v>
      </c>
      <c r="L779" t="s">
        <v>18</v>
      </c>
      <c r="M779" t="s">
        <v>47</v>
      </c>
      <c r="N779">
        <f>sales_data_1[[#This Row],[Unit_Price]]-sales_data_1[[#This Row],[Unit_Cost]]</f>
        <v>334.43000000000006</v>
      </c>
      <c r="O779">
        <f>sales_data_1[[#This Row],[Unit_Price]]*sales_data_1[[#This Row],[Quantity_Sold]]</f>
        <v>66107.520000000004</v>
      </c>
      <c r="P779">
        <f>sales_data_1[[#This Row],[Unit - cost]]*sales_data_1[[#This Row],[Quantity_Sold]]</f>
        <v>15383.780000000002</v>
      </c>
    </row>
    <row r="780" spans="1:16" x14ac:dyDescent="0.3">
      <c r="A780">
        <v>1069</v>
      </c>
      <c r="B780" s="1">
        <v>45232</v>
      </c>
      <c r="C780" t="s">
        <v>32</v>
      </c>
      <c r="D780" t="s">
        <v>14</v>
      </c>
      <c r="E780">
        <v>23</v>
      </c>
      <c r="F780" t="s">
        <v>15</v>
      </c>
      <c r="G780">
        <v>530.24</v>
      </c>
      <c r="H780">
        <v>987.41000000000008</v>
      </c>
      <c r="I780" t="s">
        <v>16</v>
      </c>
      <c r="J780">
        <v>0.23</v>
      </c>
      <c r="K780" t="s">
        <v>30</v>
      </c>
      <c r="L780" t="s">
        <v>18</v>
      </c>
      <c r="M780" t="s">
        <v>52</v>
      </c>
      <c r="N780">
        <f>sales_data_1[[#This Row],[Unit_Price]]-sales_data_1[[#This Row],[Unit_Cost]]</f>
        <v>457.17000000000007</v>
      </c>
      <c r="O780">
        <f>sales_data_1[[#This Row],[Unit_Price]]*sales_data_1[[#This Row],[Quantity_Sold]]</f>
        <v>22710.43</v>
      </c>
      <c r="P780">
        <f>sales_data_1[[#This Row],[Unit - cost]]*sales_data_1[[#This Row],[Quantity_Sold]]</f>
        <v>10514.910000000002</v>
      </c>
    </row>
    <row r="781" spans="1:16" x14ac:dyDescent="0.3">
      <c r="A781">
        <v>1047</v>
      </c>
      <c r="B781" s="1">
        <v>45196</v>
      </c>
      <c r="C781" t="s">
        <v>37</v>
      </c>
      <c r="D781" t="s">
        <v>14</v>
      </c>
      <c r="E781">
        <v>32</v>
      </c>
      <c r="F781" t="s">
        <v>34</v>
      </c>
      <c r="G781">
        <v>367.98</v>
      </c>
      <c r="H781">
        <v>806.1400000000001</v>
      </c>
      <c r="I781" t="s">
        <v>16</v>
      </c>
      <c r="J781">
        <v>0.22</v>
      </c>
      <c r="K781" t="s">
        <v>30</v>
      </c>
      <c r="L781" t="s">
        <v>21</v>
      </c>
      <c r="M781" t="s">
        <v>39</v>
      </c>
      <c r="N781">
        <f>sales_data_1[[#This Row],[Unit_Price]]-sales_data_1[[#This Row],[Unit_Cost]]</f>
        <v>438.16000000000008</v>
      </c>
      <c r="O781">
        <f>sales_data_1[[#This Row],[Unit_Price]]*sales_data_1[[#This Row],[Quantity_Sold]]</f>
        <v>25796.480000000003</v>
      </c>
      <c r="P781">
        <f>sales_data_1[[#This Row],[Unit - cost]]*sales_data_1[[#This Row],[Quantity_Sold]]</f>
        <v>14021.120000000003</v>
      </c>
    </row>
    <row r="782" spans="1:16" x14ac:dyDescent="0.3">
      <c r="A782">
        <v>1025</v>
      </c>
      <c r="B782" s="1">
        <v>45118</v>
      </c>
      <c r="C782" t="s">
        <v>32</v>
      </c>
      <c r="D782" t="s">
        <v>20</v>
      </c>
      <c r="E782">
        <v>40</v>
      </c>
      <c r="F782" t="s">
        <v>34</v>
      </c>
      <c r="G782">
        <v>2983.85</v>
      </c>
      <c r="H782">
        <v>3239.74</v>
      </c>
      <c r="I782" t="s">
        <v>29</v>
      </c>
      <c r="J782">
        <v>0.27</v>
      </c>
      <c r="K782" t="s">
        <v>30</v>
      </c>
      <c r="L782" t="s">
        <v>18</v>
      </c>
      <c r="M782" t="s">
        <v>36</v>
      </c>
      <c r="N782">
        <f>sales_data_1[[#This Row],[Unit_Price]]-sales_data_1[[#This Row],[Unit_Cost]]</f>
        <v>255.88999999999987</v>
      </c>
      <c r="O782">
        <f>sales_data_1[[#This Row],[Unit_Price]]*sales_data_1[[#This Row],[Quantity_Sold]]</f>
        <v>129589.59999999999</v>
      </c>
      <c r="P782">
        <f>sales_data_1[[#This Row],[Unit - cost]]*sales_data_1[[#This Row],[Quantity_Sold]]</f>
        <v>10235.599999999995</v>
      </c>
    </row>
    <row r="783" spans="1:16" x14ac:dyDescent="0.3">
      <c r="A783">
        <v>1066</v>
      </c>
      <c r="B783" s="1">
        <v>45101</v>
      </c>
      <c r="C783" t="s">
        <v>13</v>
      </c>
      <c r="D783" t="s">
        <v>20</v>
      </c>
      <c r="E783">
        <v>13</v>
      </c>
      <c r="F783" t="s">
        <v>15</v>
      </c>
      <c r="G783">
        <v>4133.92</v>
      </c>
      <c r="H783">
        <v>4358.37</v>
      </c>
      <c r="I783" t="s">
        <v>29</v>
      </c>
      <c r="J783">
        <v>0.13</v>
      </c>
      <c r="K783" t="s">
        <v>17</v>
      </c>
      <c r="L783" t="s">
        <v>21</v>
      </c>
      <c r="M783" t="s">
        <v>22</v>
      </c>
      <c r="N783">
        <f>sales_data_1[[#This Row],[Unit_Price]]-sales_data_1[[#This Row],[Unit_Cost]]</f>
        <v>224.44999999999982</v>
      </c>
      <c r="O783">
        <f>sales_data_1[[#This Row],[Unit_Price]]*sales_data_1[[#This Row],[Quantity_Sold]]</f>
        <v>56658.81</v>
      </c>
      <c r="P783">
        <f>sales_data_1[[#This Row],[Unit - cost]]*sales_data_1[[#This Row],[Quantity_Sold]]</f>
        <v>2917.8499999999976</v>
      </c>
    </row>
    <row r="784" spans="1:16" x14ac:dyDescent="0.3">
      <c r="A784">
        <v>1010</v>
      </c>
      <c r="B784" s="1">
        <v>45211</v>
      </c>
      <c r="C784" t="s">
        <v>32</v>
      </c>
      <c r="D784" t="s">
        <v>14</v>
      </c>
      <c r="E784">
        <v>20</v>
      </c>
      <c r="F784" t="s">
        <v>15</v>
      </c>
      <c r="G784">
        <v>4298.74</v>
      </c>
      <c r="H784">
        <v>4475.1899999999996</v>
      </c>
      <c r="I784" t="s">
        <v>16</v>
      </c>
      <c r="J784">
        <v>0.16</v>
      </c>
      <c r="K784" t="s">
        <v>17</v>
      </c>
      <c r="L784" t="s">
        <v>18</v>
      </c>
      <c r="M784" t="s">
        <v>52</v>
      </c>
      <c r="N784">
        <f>sales_data_1[[#This Row],[Unit_Price]]-sales_data_1[[#This Row],[Unit_Cost]]</f>
        <v>176.44999999999982</v>
      </c>
      <c r="O784">
        <f>sales_data_1[[#This Row],[Unit_Price]]*sales_data_1[[#This Row],[Quantity_Sold]]</f>
        <v>89503.799999999988</v>
      </c>
      <c r="P784">
        <f>sales_data_1[[#This Row],[Unit - cost]]*sales_data_1[[#This Row],[Quantity_Sold]]</f>
        <v>3528.9999999999964</v>
      </c>
    </row>
    <row r="785" spans="1:16" x14ac:dyDescent="0.3">
      <c r="A785">
        <v>1056</v>
      </c>
      <c r="B785" s="1">
        <v>45130</v>
      </c>
      <c r="C785" t="s">
        <v>13</v>
      </c>
      <c r="D785" t="s">
        <v>20</v>
      </c>
      <c r="E785">
        <v>35</v>
      </c>
      <c r="F785" t="s">
        <v>15</v>
      </c>
      <c r="G785">
        <v>2344.9299999999998</v>
      </c>
      <c r="H785">
        <v>2707.25</v>
      </c>
      <c r="I785" t="s">
        <v>29</v>
      </c>
      <c r="J785">
        <v>0.12</v>
      </c>
      <c r="K785" t="s">
        <v>30</v>
      </c>
      <c r="L785" t="s">
        <v>21</v>
      </c>
      <c r="M785" t="s">
        <v>22</v>
      </c>
      <c r="N785">
        <f>sales_data_1[[#This Row],[Unit_Price]]-sales_data_1[[#This Row],[Unit_Cost]]</f>
        <v>362.32000000000016</v>
      </c>
      <c r="O785">
        <f>sales_data_1[[#This Row],[Unit_Price]]*sales_data_1[[#This Row],[Quantity_Sold]]</f>
        <v>94753.75</v>
      </c>
      <c r="P785">
        <f>sales_data_1[[#This Row],[Unit - cost]]*sales_data_1[[#This Row],[Quantity_Sold]]</f>
        <v>12681.200000000006</v>
      </c>
    </row>
    <row r="786" spans="1:16" x14ac:dyDescent="0.3">
      <c r="A786">
        <v>1030</v>
      </c>
      <c r="B786" s="1">
        <v>45090</v>
      </c>
      <c r="C786" t="s">
        <v>32</v>
      </c>
      <c r="D786" t="s">
        <v>20</v>
      </c>
      <c r="E786">
        <v>5</v>
      </c>
      <c r="F786" t="s">
        <v>28</v>
      </c>
      <c r="G786">
        <v>3932.14</v>
      </c>
      <c r="H786">
        <v>4082.7599999999998</v>
      </c>
      <c r="I786" t="s">
        <v>29</v>
      </c>
      <c r="J786">
        <v>0.26</v>
      </c>
      <c r="K786" t="s">
        <v>30</v>
      </c>
      <c r="L786" t="s">
        <v>18</v>
      </c>
      <c r="M786" t="s">
        <v>36</v>
      </c>
      <c r="N786">
        <f>sales_data_1[[#This Row],[Unit_Price]]-sales_data_1[[#This Row],[Unit_Cost]]</f>
        <v>150.61999999999989</v>
      </c>
      <c r="O786">
        <f>sales_data_1[[#This Row],[Unit_Price]]*sales_data_1[[#This Row],[Quantity_Sold]]</f>
        <v>20413.8</v>
      </c>
      <c r="P786">
        <f>sales_data_1[[#This Row],[Unit - cost]]*sales_data_1[[#This Row],[Quantity_Sold]]</f>
        <v>753.09999999999945</v>
      </c>
    </row>
    <row r="787" spans="1:16" x14ac:dyDescent="0.3">
      <c r="A787">
        <v>1005</v>
      </c>
      <c r="B787" s="1">
        <v>45177</v>
      </c>
      <c r="C787" t="s">
        <v>37</v>
      </c>
      <c r="D787" t="s">
        <v>14</v>
      </c>
      <c r="E787">
        <v>9</v>
      </c>
      <c r="F787" t="s">
        <v>34</v>
      </c>
      <c r="G787">
        <v>4737.0600000000004</v>
      </c>
      <c r="H787">
        <v>4869.5</v>
      </c>
      <c r="I787" t="s">
        <v>29</v>
      </c>
      <c r="J787">
        <v>7.0000000000000007E-2</v>
      </c>
      <c r="K787" t="s">
        <v>17</v>
      </c>
      <c r="L787" t="s">
        <v>18</v>
      </c>
      <c r="M787" t="s">
        <v>39</v>
      </c>
      <c r="N787">
        <f>sales_data_1[[#This Row],[Unit_Price]]-sales_data_1[[#This Row],[Unit_Cost]]</f>
        <v>132.4399999999996</v>
      </c>
      <c r="O787">
        <f>sales_data_1[[#This Row],[Unit_Price]]*sales_data_1[[#This Row],[Quantity_Sold]]</f>
        <v>43825.5</v>
      </c>
      <c r="P787">
        <f>sales_data_1[[#This Row],[Unit - cost]]*sales_data_1[[#This Row],[Quantity_Sold]]</f>
        <v>1191.9599999999964</v>
      </c>
    </row>
    <row r="788" spans="1:16" x14ac:dyDescent="0.3">
      <c r="A788">
        <v>1033</v>
      </c>
      <c r="B788" s="1">
        <v>45153</v>
      </c>
      <c r="C788" t="s">
        <v>37</v>
      </c>
      <c r="D788" t="s">
        <v>33</v>
      </c>
      <c r="E788">
        <v>29</v>
      </c>
      <c r="F788" t="s">
        <v>28</v>
      </c>
      <c r="G788">
        <v>1412.09</v>
      </c>
      <c r="H788">
        <v>1596.6499999999999</v>
      </c>
      <c r="I788" t="s">
        <v>16</v>
      </c>
      <c r="J788">
        <v>7.0000000000000007E-2</v>
      </c>
      <c r="K788" t="s">
        <v>17</v>
      </c>
      <c r="L788" t="s">
        <v>18</v>
      </c>
      <c r="M788" t="s">
        <v>47</v>
      </c>
      <c r="N788">
        <f>sales_data_1[[#This Row],[Unit_Price]]-sales_data_1[[#This Row],[Unit_Cost]]</f>
        <v>184.55999999999995</v>
      </c>
      <c r="O788">
        <f>sales_data_1[[#This Row],[Unit_Price]]*sales_data_1[[#This Row],[Quantity_Sold]]</f>
        <v>46302.85</v>
      </c>
      <c r="P788">
        <f>sales_data_1[[#This Row],[Unit - cost]]*sales_data_1[[#This Row],[Quantity_Sold]]</f>
        <v>5352.239999999998</v>
      </c>
    </row>
    <row r="789" spans="1:16" x14ac:dyDescent="0.3">
      <c r="A789">
        <v>1065</v>
      </c>
      <c r="B789" s="1">
        <v>44933</v>
      </c>
      <c r="C789" t="s">
        <v>37</v>
      </c>
      <c r="D789" t="s">
        <v>14</v>
      </c>
      <c r="E789">
        <v>6</v>
      </c>
      <c r="F789" t="s">
        <v>28</v>
      </c>
      <c r="G789">
        <v>2019.9</v>
      </c>
      <c r="H789">
        <v>2116.7400000000002</v>
      </c>
      <c r="I789" t="s">
        <v>29</v>
      </c>
      <c r="J789">
        <v>0.11</v>
      </c>
      <c r="K789" t="s">
        <v>30</v>
      </c>
      <c r="L789" t="s">
        <v>18</v>
      </c>
      <c r="M789" t="s">
        <v>39</v>
      </c>
      <c r="N789">
        <f>sales_data_1[[#This Row],[Unit_Price]]-sales_data_1[[#This Row],[Unit_Cost]]</f>
        <v>96.840000000000146</v>
      </c>
      <c r="O789">
        <f>sales_data_1[[#This Row],[Unit_Price]]*sales_data_1[[#This Row],[Quantity_Sold]]</f>
        <v>12700.440000000002</v>
      </c>
      <c r="P789">
        <f>sales_data_1[[#This Row],[Unit - cost]]*sales_data_1[[#This Row],[Quantity_Sold]]</f>
        <v>581.04000000000087</v>
      </c>
    </row>
    <row r="790" spans="1:16" x14ac:dyDescent="0.3">
      <c r="A790">
        <v>1018</v>
      </c>
      <c r="B790" s="1">
        <v>44955</v>
      </c>
      <c r="C790" t="s">
        <v>23</v>
      </c>
      <c r="D790" t="s">
        <v>20</v>
      </c>
      <c r="E790">
        <v>25</v>
      </c>
      <c r="F790" t="s">
        <v>25</v>
      </c>
      <c r="G790">
        <v>4660.82</v>
      </c>
      <c r="H790">
        <v>5011.4299999999994</v>
      </c>
      <c r="I790" t="s">
        <v>29</v>
      </c>
      <c r="J790">
        <v>7.0000000000000007E-2</v>
      </c>
      <c r="K790" t="s">
        <v>26</v>
      </c>
      <c r="L790" t="s">
        <v>18</v>
      </c>
      <c r="M790" t="s">
        <v>46</v>
      </c>
      <c r="N790">
        <f>sales_data_1[[#This Row],[Unit_Price]]-sales_data_1[[#This Row],[Unit_Cost]]</f>
        <v>350.60999999999967</v>
      </c>
      <c r="O790">
        <f>sales_data_1[[#This Row],[Unit_Price]]*sales_data_1[[#This Row],[Quantity_Sold]]</f>
        <v>125285.74999999999</v>
      </c>
      <c r="P790">
        <f>sales_data_1[[#This Row],[Unit - cost]]*sales_data_1[[#This Row],[Quantity_Sold]]</f>
        <v>8765.2499999999927</v>
      </c>
    </row>
    <row r="791" spans="1:16" x14ac:dyDescent="0.3">
      <c r="A791">
        <v>1096</v>
      </c>
      <c r="B791" s="1">
        <v>44959</v>
      </c>
      <c r="C791" t="s">
        <v>41</v>
      </c>
      <c r="D791" t="s">
        <v>33</v>
      </c>
      <c r="E791">
        <v>31</v>
      </c>
      <c r="F791" t="s">
        <v>34</v>
      </c>
      <c r="G791">
        <v>1724.24</v>
      </c>
      <c r="H791">
        <v>2036.2</v>
      </c>
      <c r="I791" t="s">
        <v>29</v>
      </c>
      <c r="J791">
        <v>0.17</v>
      </c>
      <c r="K791" t="s">
        <v>17</v>
      </c>
      <c r="L791" t="s">
        <v>18</v>
      </c>
      <c r="M791" t="s">
        <v>51</v>
      </c>
      <c r="N791">
        <f>sales_data_1[[#This Row],[Unit_Price]]-sales_data_1[[#This Row],[Unit_Cost]]</f>
        <v>311.96000000000004</v>
      </c>
      <c r="O791">
        <f>sales_data_1[[#This Row],[Unit_Price]]*sales_data_1[[#This Row],[Quantity_Sold]]</f>
        <v>63122.200000000004</v>
      </c>
      <c r="P791">
        <f>sales_data_1[[#This Row],[Unit - cost]]*sales_data_1[[#This Row],[Quantity_Sold]]</f>
        <v>9670.760000000002</v>
      </c>
    </row>
    <row r="792" spans="1:16" x14ac:dyDescent="0.3">
      <c r="A792">
        <v>1049</v>
      </c>
      <c r="B792" s="1">
        <v>45060</v>
      </c>
      <c r="C792" t="s">
        <v>37</v>
      </c>
      <c r="D792" t="s">
        <v>24</v>
      </c>
      <c r="E792">
        <v>22</v>
      </c>
      <c r="F792" t="s">
        <v>34</v>
      </c>
      <c r="G792">
        <v>4573.6899999999996</v>
      </c>
      <c r="H792">
        <v>4820.2999999999993</v>
      </c>
      <c r="I792" t="s">
        <v>29</v>
      </c>
      <c r="J792">
        <v>0.04</v>
      </c>
      <c r="K792" t="s">
        <v>17</v>
      </c>
      <c r="L792" t="s">
        <v>18</v>
      </c>
      <c r="M792" t="s">
        <v>38</v>
      </c>
      <c r="N792">
        <f>sales_data_1[[#This Row],[Unit_Price]]-sales_data_1[[#This Row],[Unit_Cost]]</f>
        <v>246.60999999999967</v>
      </c>
      <c r="O792">
        <f>sales_data_1[[#This Row],[Unit_Price]]*sales_data_1[[#This Row],[Quantity_Sold]]</f>
        <v>106046.59999999998</v>
      </c>
      <c r="P792">
        <f>sales_data_1[[#This Row],[Unit - cost]]*sales_data_1[[#This Row],[Quantity_Sold]]</f>
        <v>5425.4199999999928</v>
      </c>
    </row>
    <row r="793" spans="1:16" x14ac:dyDescent="0.3">
      <c r="A793">
        <v>1011</v>
      </c>
      <c r="B793" s="1">
        <v>45005</v>
      </c>
      <c r="C793" t="s">
        <v>13</v>
      </c>
      <c r="D793" t="s">
        <v>33</v>
      </c>
      <c r="E793">
        <v>2</v>
      </c>
      <c r="F793" t="s">
        <v>15</v>
      </c>
      <c r="G793">
        <v>4906.17</v>
      </c>
      <c r="H793">
        <v>5107.43</v>
      </c>
      <c r="I793" t="s">
        <v>16</v>
      </c>
      <c r="J793">
        <v>0.1</v>
      </c>
      <c r="K793" t="s">
        <v>17</v>
      </c>
      <c r="L793" t="s">
        <v>18</v>
      </c>
      <c r="M793" t="s">
        <v>45</v>
      </c>
      <c r="N793">
        <f>sales_data_1[[#This Row],[Unit_Price]]-sales_data_1[[#This Row],[Unit_Cost]]</f>
        <v>201.26000000000022</v>
      </c>
      <c r="O793">
        <f>sales_data_1[[#This Row],[Unit_Price]]*sales_data_1[[#This Row],[Quantity_Sold]]</f>
        <v>10214.86</v>
      </c>
      <c r="P793">
        <f>sales_data_1[[#This Row],[Unit - cost]]*sales_data_1[[#This Row],[Quantity_Sold]]</f>
        <v>402.52000000000044</v>
      </c>
    </row>
    <row r="794" spans="1:16" x14ac:dyDescent="0.3">
      <c r="A794">
        <v>1085</v>
      </c>
      <c r="B794" s="1">
        <v>44984</v>
      </c>
      <c r="C794" t="s">
        <v>37</v>
      </c>
      <c r="D794" t="s">
        <v>20</v>
      </c>
      <c r="E794">
        <v>45</v>
      </c>
      <c r="F794" t="s">
        <v>15</v>
      </c>
      <c r="G794">
        <v>3325.96</v>
      </c>
      <c r="H794">
        <v>3781.4</v>
      </c>
      <c r="I794" t="s">
        <v>16</v>
      </c>
      <c r="J794">
        <v>0.27</v>
      </c>
      <c r="K794" t="s">
        <v>30</v>
      </c>
      <c r="L794" t="s">
        <v>18</v>
      </c>
      <c r="M794" t="s">
        <v>40</v>
      </c>
      <c r="N794">
        <f>sales_data_1[[#This Row],[Unit_Price]]-sales_data_1[[#This Row],[Unit_Cost]]</f>
        <v>455.44000000000005</v>
      </c>
      <c r="O794">
        <f>sales_data_1[[#This Row],[Unit_Price]]*sales_data_1[[#This Row],[Quantity_Sold]]</f>
        <v>170163</v>
      </c>
      <c r="P794">
        <f>sales_data_1[[#This Row],[Unit - cost]]*sales_data_1[[#This Row],[Quantity_Sold]]</f>
        <v>20494.800000000003</v>
      </c>
    </row>
    <row r="795" spans="1:16" x14ac:dyDescent="0.3">
      <c r="A795">
        <v>1026</v>
      </c>
      <c r="B795" s="1">
        <v>44952</v>
      </c>
      <c r="C795" t="s">
        <v>23</v>
      </c>
      <c r="D795" t="s">
        <v>33</v>
      </c>
      <c r="E795">
        <v>5</v>
      </c>
      <c r="F795" t="s">
        <v>25</v>
      </c>
      <c r="G795">
        <v>4093.61</v>
      </c>
      <c r="H795">
        <v>4117.88</v>
      </c>
      <c r="I795" t="s">
        <v>16</v>
      </c>
      <c r="J795">
        <v>0.12</v>
      </c>
      <c r="K795" t="s">
        <v>30</v>
      </c>
      <c r="L795" t="s">
        <v>21</v>
      </c>
      <c r="M795" t="s">
        <v>49</v>
      </c>
      <c r="N795">
        <f>sales_data_1[[#This Row],[Unit_Price]]-sales_data_1[[#This Row],[Unit_Cost]]</f>
        <v>24.269999999999982</v>
      </c>
      <c r="O795">
        <f>sales_data_1[[#This Row],[Unit_Price]]*sales_data_1[[#This Row],[Quantity_Sold]]</f>
        <v>20589.400000000001</v>
      </c>
      <c r="P795">
        <f>sales_data_1[[#This Row],[Unit - cost]]*sales_data_1[[#This Row],[Quantity_Sold]]</f>
        <v>121.34999999999991</v>
      </c>
    </row>
    <row r="796" spans="1:16" x14ac:dyDescent="0.3">
      <c r="A796">
        <v>1063</v>
      </c>
      <c r="B796" s="1">
        <v>45152</v>
      </c>
      <c r="C796" t="s">
        <v>13</v>
      </c>
      <c r="D796" t="s">
        <v>14</v>
      </c>
      <c r="E796">
        <v>27</v>
      </c>
      <c r="F796" t="s">
        <v>28</v>
      </c>
      <c r="G796">
        <v>3760.25</v>
      </c>
      <c r="H796">
        <v>4147.1099999999997</v>
      </c>
      <c r="I796" t="s">
        <v>29</v>
      </c>
      <c r="J796">
        <v>0.22</v>
      </c>
      <c r="K796" t="s">
        <v>17</v>
      </c>
      <c r="L796" t="s">
        <v>18</v>
      </c>
      <c r="M796" t="s">
        <v>19</v>
      </c>
      <c r="N796">
        <f>sales_data_1[[#This Row],[Unit_Price]]-sales_data_1[[#This Row],[Unit_Cost]]</f>
        <v>386.85999999999967</v>
      </c>
      <c r="O796">
        <f>sales_data_1[[#This Row],[Unit_Price]]*sales_data_1[[#This Row],[Quantity_Sold]]</f>
        <v>111971.96999999999</v>
      </c>
      <c r="P796">
        <f>sales_data_1[[#This Row],[Unit - cost]]*sales_data_1[[#This Row],[Quantity_Sold]]</f>
        <v>10445.21999999999</v>
      </c>
    </row>
    <row r="797" spans="1:16" x14ac:dyDescent="0.3">
      <c r="A797">
        <v>1089</v>
      </c>
      <c r="B797" s="1">
        <v>45211</v>
      </c>
      <c r="C797" t="s">
        <v>23</v>
      </c>
      <c r="D797" t="s">
        <v>24</v>
      </c>
      <c r="E797">
        <v>25</v>
      </c>
      <c r="F797" t="s">
        <v>15</v>
      </c>
      <c r="G797">
        <v>3512.69</v>
      </c>
      <c r="H797">
        <v>3964.63</v>
      </c>
      <c r="I797" t="s">
        <v>16</v>
      </c>
      <c r="J797">
        <v>0.03</v>
      </c>
      <c r="K797" t="s">
        <v>30</v>
      </c>
      <c r="L797" t="s">
        <v>21</v>
      </c>
      <c r="M797" t="s">
        <v>27</v>
      </c>
      <c r="N797">
        <f>sales_data_1[[#This Row],[Unit_Price]]-sales_data_1[[#This Row],[Unit_Cost]]</f>
        <v>451.94000000000005</v>
      </c>
      <c r="O797">
        <f>sales_data_1[[#This Row],[Unit_Price]]*sales_data_1[[#This Row],[Quantity_Sold]]</f>
        <v>99115.75</v>
      </c>
      <c r="P797">
        <f>sales_data_1[[#This Row],[Unit - cost]]*sales_data_1[[#This Row],[Quantity_Sold]]</f>
        <v>11298.500000000002</v>
      </c>
    </row>
    <row r="798" spans="1:16" x14ac:dyDescent="0.3">
      <c r="A798">
        <v>1086</v>
      </c>
      <c r="B798" s="1">
        <v>44930</v>
      </c>
      <c r="C798" t="s">
        <v>13</v>
      </c>
      <c r="D798" t="s">
        <v>24</v>
      </c>
      <c r="E798">
        <v>8</v>
      </c>
      <c r="F798" t="s">
        <v>15</v>
      </c>
      <c r="G798">
        <v>1569.31</v>
      </c>
      <c r="H798">
        <v>1798.02</v>
      </c>
      <c r="I798" t="s">
        <v>29</v>
      </c>
      <c r="J798">
        <v>7.0000000000000007E-2</v>
      </c>
      <c r="K798" t="s">
        <v>30</v>
      </c>
      <c r="L798" t="s">
        <v>18</v>
      </c>
      <c r="M798" t="s">
        <v>31</v>
      </c>
      <c r="N798">
        <f>sales_data_1[[#This Row],[Unit_Price]]-sales_data_1[[#This Row],[Unit_Cost]]</f>
        <v>228.71000000000004</v>
      </c>
      <c r="O798">
        <f>sales_data_1[[#This Row],[Unit_Price]]*sales_data_1[[#This Row],[Quantity_Sold]]</f>
        <v>14384.16</v>
      </c>
      <c r="P798">
        <f>sales_data_1[[#This Row],[Unit - cost]]*sales_data_1[[#This Row],[Quantity_Sold]]</f>
        <v>1829.6800000000003</v>
      </c>
    </row>
    <row r="799" spans="1:16" x14ac:dyDescent="0.3">
      <c r="A799">
        <v>1059</v>
      </c>
      <c r="B799" s="1">
        <v>45025</v>
      </c>
      <c r="C799" t="s">
        <v>32</v>
      </c>
      <c r="D799" t="s">
        <v>24</v>
      </c>
      <c r="E799">
        <v>1</v>
      </c>
      <c r="F799" t="s">
        <v>34</v>
      </c>
      <c r="G799">
        <v>332.62</v>
      </c>
      <c r="H799">
        <v>612.46</v>
      </c>
      <c r="I799" t="s">
        <v>16</v>
      </c>
      <c r="J799">
        <v>0.24</v>
      </c>
      <c r="K799" t="s">
        <v>17</v>
      </c>
      <c r="L799" t="s">
        <v>21</v>
      </c>
      <c r="M799" t="s">
        <v>43</v>
      </c>
      <c r="N799">
        <f>sales_data_1[[#This Row],[Unit_Price]]-sales_data_1[[#This Row],[Unit_Cost]]</f>
        <v>279.84000000000003</v>
      </c>
      <c r="O799">
        <f>sales_data_1[[#This Row],[Unit_Price]]*sales_data_1[[#This Row],[Quantity_Sold]]</f>
        <v>612.46</v>
      </c>
      <c r="P799">
        <f>sales_data_1[[#This Row],[Unit - cost]]*sales_data_1[[#This Row],[Quantity_Sold]]</f>
        <v>279.84000000000003</v>
      </c>
    </row>
    <row r="800" spans="1:16" x14ac:dyDescent="0.3">
      <c r="A800">
        <v>1027</v>
      </c>
      <c r="B800" s="1">
        <v>44965</v>
      </c>
      <c r="C800" t="s">
        <v>41</v>
      </c>
      <c r="D800" t="s">
        <v>20</v>
      </c>
      <c r="E800">
        <v>20</v>
      </c>
      <c r="F800" t="s">
        <v>34</v>
      </c>
      <c r="G800">
        <v>1748.11</v>
      </c>
      <c r="H800">
        <v>2220.9</v>
      </c>
      <c r="I800" t="s">
        <v>29</v>
      </c>
      <c r="J800">
        <v>0.23</v>
      </c>
      <c r="K800" t="s">
        <v>30</v>
      </c>
      <c r="L800" t="s">
        <v>21</v>
      </c>
      <c r="M800" t="s">
        <v>50</v>
      </c>
      <c r="N800">
        <f>sales_data_1[[#This Row],[Unit_Price]]-sales_data_1[[#This Row],[Unit_Cost]]</f>
        <v>472.79000000000019</v>
      </c>
      <c r="O800">
        <f>sales_data_1[[#This Row],[Unit_Price]]*sales_data_1[[#This Row],[Quantity_Sold]]</f>
        <v>44418</v>
      </c>
      <c r="P800">
        <f>sales_data_1[[#This Row],[Unit - cost]]*sales_data_1[[#This Row],[Quantity_Sold]]</f>
        <v>9455.8000000000029</v>
      </c>
    </row>
    <row r="801" spans="1:16" x14ac:dyDescent="0.3">
      <c r="A801">
        <v>1049</v>
      </c>
      <c r="B801" s="1">
        <v>45197</v>
      </c>
      <c r="C801" t="s">
        <v>41</v>
      </c>
      <c r="D801" t="s">
        <v>20</v>
      </c>
      <c r="E801">
        <v>44</v>
      </c>
      <c r="F801" t="s">
        <v>15</v>
      </c>
      <c r="G801">
        <v>3351.33</v>
      </c>
      <c r="H801">
        <v>3465.35</v>
      </c>
      <c r="I801" t="s">
        <v>16</v>
      </c>
      <c r="J801">
        <v>0.12</v>
      </c>
      <c r="K801" t="s">
        <v>26</v>
      </c>
      <c r="L801" t="s">
        <v>18</v>
      </c>
      <c r="M801" t="s">
        <v>50</v>
      </c>
      <c r="N801">
        <f>sales_data_1[[#This Row],[Unit_Price]]-sales_data_1[[#This Row],[Unit_Cost]]</f>
        <v>114.01999999999998</v>
      </c>
      <c r="O801">
        <f>sales_data_1[[#This Row],[Unit_Price]]*sales_data_1[[#This Row],[Quantity_Sold]]</f>
        <v>152475.4</v>
      </c>
      <c r="P801">
        <f>sales_data_1[[#This Row],[Unit - cost]]*sales_data_1[[#This Row],[Quantity_Sold]]</f>
        <v>5016.8799999999992</v>
      </c>
    </row>
    <row r="802" spans="1:16" x14ac:dyDescent="0.3">
      <c r="A802">
        <v>1077</v>
      </c>
      <c r="B802" s="1">
        <v>45211</v>
      </c>
      <c r="C802" t="s">
        <v>23</v>
      </c>
      <c r="D802" t="s">
        <v>24</v>
      </c>
      <c r="E802">
        <v>23</v>
      </c>
      <c r="F802" t="s">
        <v>34</v>
      </c>
      <c r="G802">
        <v>557.52</v>
      </c>
      <c r="H802">
        <v>822.39</v>
      </c>
      <c r="I802" t="s">
        <v>16</v>
      </c>
      <c r="J802">
        <v>0.28999999999999998</v>
      </c>
      <c r="K802" t="s">
        <v>30</v>
      </c>
      <c r="L802" t="s">
        <v>18</v>
      </c>
      <c r="M802" t="s">
        <v>27</v>
      </c>
      <c r="N802">
        <f>sales_data_1[[#This Row],[Unit_Price]]-sales_data_1[[#This Row],[Unit_Cost]]</f>
        <v>264.87</v>
      </c>
      <c r="O802">
        <f>sales_data_1[[#This Row],[Unit_Price]]*sales_data_1[[#This Row],[Quantity_Sold]]</f>
        <v>18914.97</v>
      </c>
      <c r="P802">
        <f>sales_data_1[[#This Row],[Unit - cost]]*sales_data_1[[#This Row],[Quantity_Sold]]</f>
        <v>6092.01</v>
      </c>
    </row>
    <row r="803" spans="1:16" x14ac:dyDescent="0.3">
      <c r="A803">
        <v>1033</v>
      </c>
      <c r="B803" s="1">
        <v>45083</v>
      </c>
      <c r="C803" t="s">
        <v>41</v>
      </c>
      <c r="D803" t="s">
        <v>33</v>
      </c>
      <c r="E803">
        <v>32</v>
      </c>
      <c r="F803" t="s">
        <v>25</v>
      </c>
      <c r="G803">
        <v>108.99</v>
      </c>
      <c r="H803">
        <v>351.6</v>
      </c>
      <c r="I803" t="s">
        <v>16</v>
      </c>
      <c r="J803">
        <v>0.27</v>
      </c>
      <c r="K803" t="s">
        <v>30</v>
      </c>
      <c r="L803" t="s">
        <v>21</v>
      </c>
      <c r="M803" t="s">
        <v>51</v>
      </c>
      <c r="N803">
        <f>sales_data_1[[#This Row],[Unit_Price]]-sales_data_1[[#This Row],[Unit_Cost]]</f>
        <v>242.61</v>
      </c>
      <c r="O803">
        <f>sales_data_1[[#This Row],[Unit_Price]]*sales_data_1[[#This Row],[Quantity_Sold]]</f>
        <v>11251.2</v>
      </c>
      <c r="P803">
        <f>sales_data_1[[#This Row],[Unit - cost]]*sales_data_1[[#This Row],[Quantity_Sold]]</f>
        <v>7763.52</v>
      </c>
    </row>
    <row r="804" spans="1:16" x14ac:dyDescent="0.3">
      <c r="A804">
        <v>1098</v>
      </c>
      <c r="B804" s="1">
        <v>45001</v>
      </c>
      <c r="C804" t="s">
        <v>23</v>
      </c>
      <c r="D804" t="s">
        <v>24</v>
      </c>
      <c r="E804">
        <v>11</v>
      </c>
      <c r="F804" t="s">
        <v>15</v>
      </c>
      <c r="G804">
        <v>741.48</v>
      </c>
      <c r="H804">
        <v>878.09</v>
      </c>
      <c r="I804" t="s">
        <v>29</v>
      </c>
      <c r="J804">
        <v>0.28999999999999998</v>
      </c>
      <c r="K804" t="s">
        <v>17</v>
      </c>
      <c r="L804" t="s">
        <v>21</v>
      </c>
      <c r="M804" t="s">
        <v>27</v>
      </c>
      <c r="N804">
        <f>sales_data_1[[#This Row],[Unit_Price]]-sales_data_1[[#This Row],[Unit_Cost]]</f>
        <v>136.61000000000001</v>
      </c>
      <c r="O804">
        <f>sales_data_1[[#This Row],[Unit_Price]]*sales_data_1[[#This Row],[Quantity_Sold]]</f>
        <v>9658.99</v>
      </c>
      <c r="P804">
        <f>sales_data_1[[#This Row],[Unit - cost]]*sales_data_1[[#This Row],[Quantity_Sold]]</f>
        <v>1502.71</v>
      </c>
    </row>
    <row r="805" spans="1:16" x14ac:dyDescent="0.3">
      <c r="A805">
        <v>1099</v>
      </c>
      <c r="B805" s="1">
        <v>45214</v>
      </c>
      <c r="C805" t="s">
        <v>23</v>
      </c>
      <c r="D805" t="s">
        <v>33</v>
      </c>
      <c r="E805">
        <v>39</v>
      </c>
      <c r="F805" t="s">
        <v>34</v>
      </c>
      <c r="G805">
        <v>3592.89</v>
      </c>
      <c r="H805">
        <v>4004</v>
      </c>
      <c r="I805" t="s">
        <v>29</v>
      </c>
      <c r="J805">
        <v>0.13</v>
      </c>
      <c r="K805" t="s">
        <v>17</v>
      </c>
      <c r="L805" t="s">
        <v>18</v>
      </c>
      <c r="M805" t="s">
        <v>49</v>
      </c>
      <c r="N805">
        <f>sales_data_1[[#This Row],[Unit_Price]]-sales_data_1[[#This Row],[Unit_Cost]]</f>
        <v>411.11000000000013</v>
      </c>
      <c r="O805">
        <f>sales_data_1[[#This Row],[Unit_Price]]*sales_data_1[[#This Row],[Quantity_Sold]]</f>
        <v>156156</v>
      </c>
      <c r="P805">
        <f>sales_data_1[[#This Row],[Unit - cost]]*sales_data_1[[#This Row],[Quantity_Sold]]</f>
        <v>16033.290000000005</v>
      </c>
    </row>
    <row r="806" spans="1:16" x14ac:dyDescent="0.3">
      <c r="A806">
        <v>1001</v>
      </c>
      <c r="B806" s="1">
        <v>45056</v>
      </c>
      <c r="C806" t="s">
        <v>23</v>
      </c>
      <c r="D806" t="s">
        <v>33</v>
      </c>
      <c r="E806">
        <v>47</v>
      </c>
      <c r="F806" t="s">
        <v>25</v>
      </c>
      <c r="G806">
        <v>4865.33</v>
      </c>
      <c r="H806">
        <v>5316.13</v>
      </c>
      <c r="I806" t="s">
        <v>29</v>
      </c>
      <c r="J806">
        <v>0.06</v>
      </c>
      <c r="K806" t="s">
        <v>26</v>
      </c>
      <c r="L806" t="s">
        <v>18</v>
      </c>
      <c r="M806" t="s">
        <v>49</v>
      </c>
      <c r="N806">
        <f>sales_data_1[[#This Row],[Unit_Price]]-sales_data_1[[#This Row],[Unit_Cost]]</f>
        <v>450.80000000000018</v>
      </c>
      <c r="O806">
        <f>sales_data_1[[#This Row],[Unit_Price]]*sales_data_1[[#This Row],[Quantity_Sold]]</f>
        <v>249858.11000000002</v>
      </c>
      <c r="P806">
        <f>sales_data_1[[#This Row],[Unit - cost]]*sales_data_1[[#This Row],[Quantity_Sold]]</f>
        <v>21187.600000000009</v>
      </c>
    </row>
    <row r="807" spans="1:16" x14ac:dyDescent="0.3">
      <c r="A807">
        <v>1021</v>
      </c>
      <c r="B807" s="1">
        <v>45101</v>
      </c>
      <c r="C807" t="s">
        <v>41</v>
      </c>
      <c r="D807" t="s">
        <v>20</v>
      </c>
      <c r="E807">
        <v>24</v>
      </c>
      <c r="F807" t="s">
        <v>34</v>
      </c>
      <c r="G807">
        <v>4916.17</v>
      </c>
      <c r="H807">
        <v>5309.32</v>
      </c>
      <c r="I807" t="s">
        <v>16</v>
      </c>
      <c r="J807">
        <v>0.19</v>
      </c>
      <c r="K807" t="s">
        <v>30</v>
      </c>
      <c r="L807" t="s">
        <v>18</v>
      </c>
      <c r="M807" t="s">
        <v>50</v>
      </c>
      <c r="N807">
        <f>sales_data_1[[#This Row],[Unit_Price]]-sales_data_1[[#This Row],[Unit_Cost]]</f>
        <v>393.14999999999964</v>
      </c>
      <c r="O807">
        <f>sales_data_1[[#This Row],[Unit_Price]]*sales_data_1[[#This Row],[Quantity_Sold]]</f>
        <v>127423.67999999999</v>
      </c>
      <c r="P807">
        <f>sales_data_1[[#This Row],[Unit - cost]]*sales_data_1[[#This Row],[Quantity_Sold]]</f>
        <v>9435.5999999999913</v>
      </c>
    </row>
    <row r="808" spans="1:16" x14ac:dyDescent="0.3">
      <c r="A808">
        <v>1055</v>
      </c>
      <c r="B808" s="1">
        <v>45010</v>
      </c>
      <c r="C808" t="s">
        <v>23</v>
      </c>
      <c r="D808" t="s">
        <v>33</v>
      </c>
      <c r="E808">
        <v>11</v>
      </c>
      <c r="F808" t="s">
        <v>34</v>
      </c>
      <c r="G808">
        <v>2495.1999999999998</v>
      </c>
      <c r="H808">
        <v>2600.9299999999998</v>
      </c>
      <c r="I808" t="s">
        <v>29</v>
      </c>
      <c r="J808">
        <v>0.21</v>
      </c>
      <c r="K808" t="s">
        <v>26</v>
      </c>
      <c r="L808" t="s">
        <v>21</v>
      </c>
      <c r="M808" t="s">
        <v>49</v>
      </c>
      <c r="N808">
        <f>sales_data_1[[#This Row],[Unit_Price]]-sales_data_1[[#This Row],[Unit_Cost]]</f>
        <v>105.73000000000002</v>
      </c>
      <c r="O808">
        <f>sales_data_1[[#This Row],[Unit_Price]]*sales_data_1[[#This Row],[Quantity_Sold]]</f>
        <v>28610.23</v>
      </c>
      <c r="P808">
        <f>sales_data_1[[#This Row],[Unit - cost]]*sales_data_1[[#This Row],[Quantity_Sold]]</f>
        <v>1163.0300000000002</v>
      </c>
    </row>
    <row r="809" spans="1:16" x14ac:dyDescent="0.3">
      <c r="A809">
        <v>1006</v>
      </c>
      <c r="B809" s="1">
        <v>44948</v>
      </c>
      <c r="C809" t="s">
        <v>41</v>
      </c>
      <c r="D809" t="s">
        <v>24</v>
      </c>
      <c r="E809">
        <v>29</v>
      </c>
      <c r="F809" t="s">
        <v>34</v>
      </c>
      <c r="G809">
        <v>4353.29</v>
      </c>
      <c r="H809">
        <v>4405.8</v>
      </c>
      <c r="I809" t="s">
        <v>29</v>
      </c>
      <c r="J809">
        <v>0.04</v>
      </c>
      <c r="K809" t="s">
        <v>26</v>
      </c>
      <c r="L809" t="s">
        <v>18</v>
      </c>
      <c r="M809" t="s">
        <v>42</v>
      </c>
      <c r="N809">
        <f>sales_data_1[[#This Row],[Unit_Price]]-sales_data_1[[#This Row],[Unit_Cost]]</f>
        <v>52.510000000000218</v>
      </c>
      <c r="O809">
        <f>sales_data_1[[#This Row],[Unit_Price]]*sales_data_1[[#This Row],[Quantity_Sold]]</f>
        <v>127768.20000000001</v>
      </c>
      <c r="P809">
        <f>sales_data_1[[#This Row],[Unit - cost]]*sales_data_1[[#This Row],[Quantity_Sold]]</f>
        <v>1522.7900000000063</v>
      </c>
    </row>
    <row r="810" spans="1:16" x14ac:dyDescent="0.3">
      <c r="A810">
        <v>1092</v>
      </c>
      <c r="B810" s="1">
        <v>44953</v>
      </c>
      <c r="C810" t="s">
        <v>23</v>
      </c>
      <c r="D810" t="s">
        <v>20</v>
      </c>
      <c r="E810">
        <v>26</v>
      </c>
      <c r="F810" t="s">
        <v>15</v>
      </c>
      <c r="G810">
        <v>3697.29</v>
      </c>
      <c r="H810">
        <v>4003.96</v>
      </c>
      <c r="I810" t="s">
        <v>29</v>
      </c>
      <c r="J810">
        <v>0.24</v>
      </c>
      <c r="K810" t="s">
        <v>17</v>
      </c>
      <c r="L810" t="s">
        <v>18</v>
      </c>
      <c r="M810" t="s">
        <v>46</v>
      </c>
      <c r="N810">
        <f>sales_data_1[[#This Row],[Unit_Price]]-sales_data_1[[#This Row],[Unit_Cost]]</f>
        <v>306.67000000000007</v>
      </c>
      <c r="O810">
        <f>sales_data_1[[#This Row],[Unit_Price]]*sales_data_1[[#This Row],[Quantity_Sold]]</f>
        <v>104102.96</v>
      </c>
      <c r="P810">
        <f>sales_data_1[[#This Row],[Unit - cost]]*sales_data_1[[#This Row],[Quantity_Sold]]</f>
        <v>7973.4200000000019</v>
      </c>
    </row>
    <row r="811" spans="1:16" x14ac:dyDescent="0.3">
      <c r="A811">
        <v>1081</v>
      </c>
      <c r="B811" s="1">
        <v>45121</v>
      </c>
      <c r="C811" t="s">
        <v>37</v>
      </c>
      <c r="D811" t="s">
        <v>14</v>
      </c>
      <c r="E811">
        <v>16</v>
      </c>
      <c r="F811" t="s">
        <v>28</v>
      </c>
      <c r="G811">
        <v>2530.15</v>
      </c>
      <c r="H811">
        <v>2568.13</v>
      </c>
      <c r="I811" t="s">
        <v>29</v>
      </c>
      <c r="J811">
        <v>0.01</v>
      </c>
      <c r="K811" t="s">
        <v>30</v>
      </c>
      <c r="L811" t="s">
        <v>18</v>
      </c>
      <c r="M811" t="s">
        <v>39</v>
      </c>
      <c r="N811">
        <f>sales_data_1[[#This Row],[Unit_Price]]-sales_data_1[[#This Row],[Unit_Cost]]</f>
        <v>37.980000000000018</v>
      </c>
      <c r="O811">
        <f>sales_data_1[[#This Row],[Unit_Price]]*sales_data_1[[#This Row],[Quantity_Sold]]</f>
        <v>41090.080000000002</v>
      </c>
      <c r="P811">
        <f>sales_data_1[[#This Row],[Unit - cost]]*sales_data_1[[#This Row],[Quantity_Sold]]</f>
        <v>607.68000000000029</v>
      </c>
    </row>
    <row r="812" spans="1:16" x14ac:dyDescent="0.3">
      <c r="A812">
        <v>1069</v>
      </c>
      <c r="B812" s="1">
        <v>45263</v>
      </c>
      <c r="C812" t="s">
        <v>23</v>
      </c>
      <c r="D812" t="s">
        <v>14</v>
      </c>
      <c r="E812">
        <v>35</v>
      </c>
      <c r="F812" t="s">
        <v>34</v>
      </c>
      <c r="G812">
        <v>2885.16</v>
      </c>
      <c r="H812">
        <v>3224.8399999999997</v>
      </c>
      <c r="I812" t="s">
        <v>29</v>
      </c>
      <c r="J812">
        <v>0.14000000000000001</v>
      </c>
      <c r="K812" t="s">
        <v>17</v>
      </c>
      <c r="L812" t="s">
        <v>18</v>
      </c>
      <c r="M812" t="s">
        <v>44</v>
      </c>
      <c r="N812">
        <f>sales_data_1[[#This Row],[Unit_Price]]-sales_data_1[[#This Row],[Unit_Cost]]</f>
        <v>339.67999999999984</v>
      </c>
      <c r="O812">
        <f>sales_data_1[[#This Row],[Unit_Price]]*sales_data_1[[#This Row],[Quantity_Sold]]</f>
        <v>112869.4</v>
      </c>
      <c r="P812">
        <f>sales_data_1[[#This Row],[Unit - cost]]*sales_data_1[[#This Row],[Quantity_Sold]]</f>
        <v>11888.799999999994</v>
      </c>
    </row>
    <row r="813" spans="1:16" x14ac:dyDescent="0.3">
      <c r="A813">
        <v>1095</v>
      </c>
      <c r="B813" s="1">
        <v>45162</v>
      </c>
      <c r="C813" t="s">
        <v>13</v>
      </c>
      <c r="D813" t="s">
        <v>20</v>
      </c>
      <c r="E813">
        <v>20</v>
      </c>
      <c r="F813" t="s">
        <v>25</v>
      </c>
      <c r="G813">
        <v>729.27</v>
      </c>
      <c r="H813">
        <v>999.18000000000006</v>
      </c>
      <c r="I813" t="s">
        <v>29</v>
      </c>
      <c r="J813">
        <v>0.1</v>
      </c>
      <c r="K813" t="s">
        <v>26</v>
      </c>
      <c r="L813" t="s">
        <v>18</v>
      </c>
      <c r="M813" t="s">
        <v>22</v>
      </c>
      <c r="N813">
        <f>sales_data_1[[#This Row],[Unit_Price]]-sales_data_1[[#This Row],[Unit_Cost]]</f>
        <v>269.91000000000008</v>
      </c>
      <c r="O813">
        <f>sales_data_1[[#This Row],[Unit_Price]]*sales_data_1[[#This Row],[Quantity_Sold]]</f>
        <v>19983.600000000002</v>
      </c>
      <c r="P813">
        <f>sales_data_1[[#This Row],[Unit - cost]]*sales_data_1[[#This Row],[Quantity_Sold]]</f>
        <v>5398.2000000000016</v>
      </c>
    </row>
    <row r="814" spans="1:16" x14ac:dyDescent="0.3">
      <c r="A814">
        <v>1005</v>
      </c>
      <c r="B814" s="1">
        <v>45018</v>
      </c>
      <c r="C814" t="s">
        <v>23</v>
      </c>
      <c r="D814" t="s">
        <v>24</v>
      </c>
      <c r="E814">
        <v>46</v>
      </c>
      <c r="F814" t="s">
        <v>15</v>
      </c>
      <c r="G814">
        <v>4691.42</v>
      </c>
      <c r="H814">
        <v>5026.1900000000005</v>
      </c>
      <c r="I814" t="s">
        <v>16</v>
      </c>
      <c r="J814">
        <v>0.22</v>
      </c>
      <c r="K814" t="s">
        <v>26</v>
      </c>
      <c r="L814" t="s">
        <v>21</v>
      </c>
      <c r="M814" t="s">
        <v>27</v>
      </c>
      <c r="N814">
        <f>sales_data_1[[#This Row],[Unit_Price]]-sales_data_1[[#This Row],[Unit_Cost]]</f>
        <v>334.77000000000044</v>
      </c>
      <c r="O814">
        <f>sales_data_1[[#This Row],[Unit_Price]]*sales_data_1[[#This Row],[Quantity_Sold]]</f>
        <v>231204.74000000002</v>
      </c>
      <c r="P814">
        <f>sales_data_1[[#This Row],[Unit - cost]]*sales_data_1[[#This Row],[Quantity_Sold]]</f>
        <v>15399.42000000002</v>
      </c>
    </row>
    <row r="815" spans="1:16" x14ac:dyDescent="0.3">
      <c r="A815">
        <v>1003</v>
      </c>
      <c r="B815" s="1">
        <v>44947</v>
      </c>
      <c r="C815" t="s">
        <v>32</v>
      </c>
      <c r="D815" t="s">
        <v>14</v>
      </c>
      <c r="E815">
        <v>3</v>
      </c>
      <c r="F815" t="s">
        <v>15</v>
      </c>
      <c r="G815">
        <v>1792.05</v>
      </c>
      <c r="H815">
        <v>2091.23</v>
      </c>
      <c r="I815" t="s">
        <v>16</v>
      </c>
      <c r="J815">
        <v>0.09</v>
      </c>
      <c r="K815" t="s">
        <v>17</v>
      </c>
      <c r="L815" t="s">
        <v>21</v>
      </c>
      <c r="M815" t="s">
        <v>52</v>
      </c>
      <c r="N815">
        <f>sales_data_1[[#This Row],[Unit_Price]]-sales_data_1[[#This Row],[Unit_Cost]]</f>
        <v>299.18000000000006</v>
      </c>
      <c r="O815">
        <f>sales_data_1[[#This Row],[Unit_Price]]*sales_data_1[[#This Row],[Quantity_Sold]]</f>
        <v>6273.6900000000005</v>
      </c>
      <c r="P815">
        <f>sales_data_1[[#This Row],[Unit - cost]]*sales_data_1[[#This Row],[Quantity_Sold]]</f>
        <v>897.54000000000019</v>
      </c>
    </row>
    <row r="816" spans="1:16" x14ac:dyDescent="0.3">
      <c r="A816">
        <v>1053</v>
      </c>
      <c r="B816" s="1">
        <v>45229</v>
      </c>
      <c r="C816" t="s">
        <v>23</v>
      </c>
      <c r="D816" t="s">
        <v>14</v>
      </c>
      <c r="E816">
        <v>1</v>
      </c>
      <c r="F816" t="s">
        <v>25</v>
      </c>
      <c r="G816">
        <v>2258.44</v>
      </c>
      <c r="H816">
        <v>2475.56</v>
      </c>
      <c r="I816" t="s">
        <v>29</v>
      </c>
      <c r="J816">
        <v>0.25</v>
      </c>
      <c r="K816" t="s">
        <v>17</v>
      </c>
      <c r="L816" t="s">
        <v>18</v>
      </c>
      <c r="M816" t="s">
        <v>44</v>
      </c>
      <c r="N816">
        <f>sales_data_1[[#This Row],[Unit_Price]]-sales_data_1[[#This Row],[Unit_Cost]]</f>
        <v>217.11999999999989</v>
      </c>
      <c r="O816">
        <f>sales_data_1[[#This Row],[Unit_Price]]*sales_data_1[[#This Row],[Quantity_Sold]]</f>
        <v>2475.56</v>
      </c>
      <c r="P816">
        <f>sales_data_1[[#This Row],[Unit - cost]]*sales_data_1[[#This Row],[Quantity_Sold]]</f>
        <v>217.11999999999989</v>
      </c>
    </row>
    <row r="817" spans="1:16" x14ac:dyDescent="0.3">
      <c r="A817">
        <v>1023</v>
      </c>
      <c r="B817" s="1">
        <v>45283</v>
      </c>
      <c r="C817" t="s">
        <v>13</v>
      </c>
      <c r="D817" t="s">
        <v>33</v>
      </c>
      <c r="E817">
        <v>47</v>
      </c>
      <c r="F817" t="s">
        <v>34</v>
      </c>
      <c r="G817">
        <v>3374.72</v>
      </c>
      <c r="H817">
        <v>3483.1499999999996</v>
      </c>
      <c r="I817" t="s">
        <v>16</v>
      </c>
      <c r="J817">
        <v>0.18</v>
      </c>
      <c r="K817" t="s">
        <v>17</v>
      </c>
      <c r="L817" t="s">
        <v>18</v>
      </c>
      <c r="M817" t="s">
        <v>45</v>
      </c>
      <c r="N817">
        <f>sales_data_1[[#This Row],[Unit_Price]]-sales_data_1[[#This Row],[Unit_Cost]]</f>
        <v>108.42999999999984</v>
      </c>
      <c r="O817">
        <f>sales_data_1[[#This Row],[Unit_Price]]*sales_data_1[[#This Row],[Quantity_Sold]]</f>
        <v>163708.04999999999</v>
      </c>
      <c r="P817">
        <f>sales_data_1[[#This Row],[Unit - cost]]*sales_data_1[[#This Row],[Quantity_Sold]]</f>
        <v>5096.2099999999919</v>
      </c>
    </row>
    <row r="818" spans="1:16" x14ac:dyDescent="0.3">
      <c r="A818">
        <v>1053</v>
      </c>
      <c r="B818" s="1">
        <v>45010</v>
      </c>
      <c r="C818" t="s">
        <v>13</v>
      </c>
      <c r="D818" t="s">
        <v>33</v>
      </c>
      <c r="E818">
        <v>1</v>
      </c>
      <c r="F818" t="s">
        <v>28</v>
      </c>
      <c r="G818">
        <v>1702.82</v>
      </c>
      <c r="H818">
        <v>1862.61</v>
      </c>
      <c r="I818" t="s">
        <v>16</v>
      </c>
      <c r="J818">
        <v>0.24</v>
      </c>
      <c r="K818" t="s">
        <v>17</v>
      </c>
      <c r="L818" t="s">
        <v>21</v>
      </c>
      <c r="M818" t="s">
        <v>45</v>
      </c>
      <c r="N818">
        <f>sales_data_1[[#This Row],[Unit_Price]]-sales_data_1[[#This Row],[Unit_Cost]]</f>
        <v>159.78999999999996</v>
      </c>
      <c r="O818">
        <f>sales_data_1[[#This Row],[Unit_Price]]*sales_data_1[[#This Row],[Quantity_Sold]]</f>
        <v>1862.61</v>
      </c>
      <c r="P818">
        <f>sales_data_1[[#This Row],[Unit - cost]]*sales_data_1[[#This Row],[Quantity_Sold]]</f>
        <v>159.78999999999996</v>
      </c>
    </row>
    <row r="819" spans="1:16" x14ac:dyDescent="0.3">
      <c r="A819">
        <v>1037</v>
      </c>
      <c r="B819" s="1">
        <v>45188</v>
      </c>
      <c r="C819" t="s">
        <v>41</v>
      </c>
      <c r="D819" t="s">
        <v>24</v>
      </c>
      <c r="E819">
        <v>17</v>
      </c>
      <c r="F819" t="s">
        <v>34</v>
      </c>
      <c r="G819">
        <v>1308.58</v>
      </c>
      <c r="H819">
        <v>1575.59</v>
      </c>
      <c r="I819" t="s">
        <v>29</v>
      </c>
      <c r="J819">
        <v>0.3</v>
      </c>
      <c r="K819" t="s">
        <v>17</v>
      </c>
      <c r="L819" t="s">
        <v>18</v>
      </c>
      <c r="M819" t="s">
        <v>42</v>
      </c>
      <c r="N819">
        <f>sales_data_1[[#This Row],[Unit_Price]]-sales_data_1[[#This Row],[Unit_Cost]]</f>
        <v>267.01</v>
      </c>
      <c r="O819">
        <f>sales_data_1[[#This Row],[Unit_Price]]*sales_data_1[[#This Row],[Quantity_Sold]]</f>
        <v>26785.03</v>
      </c>
      <c r="P819">
        <f>sales_data_1[[#This Row],[Unit - cost]]*sales_data_1[[#This Row],[Quantity_Sold]]</f>
        <v>4539.17</v>
      </c>
    </row>
    <row r="820" spans="1:16" x14ac:dyDescent="0.3">
      <c r="A820">
        <v>1074</v>
      </c>
      <c r="B820" s="1">
        <v>45073</v>
      </c>
      <c r="C820" t="s">
        <v>37</v>
      </c>
      <c r="D820" t="s">
        <v>20</v>
      </c>
      <c r="E820">
        <v>2</v>
      </c>
      <c r="F820" t="s">
        <v>25</v>
      </c>
      <c r="G820">
        <v>3173.69</v>
      </c>
      <c r="H820">
        <v>3503.11</v>
      </c>
      <c r="I820" t="s">
        <v>29</v>
      </c>
      <c r="J820">
        <v>0.2</v>
      </c>
      <c r="K820" t="s">
        <v>26</v>
      </c>
      <c r="L820" t="s">
        <v>21</v>
      </c>
      <c r="M820" t="s">
        <v>40</v>
      </c>
      <c r="N820">
        <f>sales_data_1[[#This Row],[Unit_Price]]-sales_data_1[[#This Row],[Unit_Cost]]</f>
        <v>329.42000000000007</v>
      </c>
      <c r="O820">
        <f>sales_data_1[[#This Row],[Unit_Price]]*sales_data_1[[#This Row],[Quantity_Sold]]</f>
        <v>7006.22</v>
      </c>
      <c r="P820">
        <f>sales_data_1[[#This Row],[Unit - cost]]*sales_data_1[[#This Row],[Quantity_Sold]]</f>
        <v>658.84000000000015</v>
      </c>
    </row>
    <row r="821" spans="1:16" x14ac:dyDescent="0.3">
      <c r="A821">
        <v>1074</v>
      </c>
      <c r="B821" s="1">
        <v>45183</v>
      </c>
      <c r="C821" t="s">
        <v>23</v>
      </c>
      <c r="D821" t="s">
        <v>24</v>
      </c>
      <c r="E821">
        <v>29</v>
      </c>
      <c r="F821" t="s">
        <v>15</v>
      </c>
      <c r="G821">
        <v>173.67</v>
      </c>
      <c r="H821">
        <v>565.62</v>
      </c>
      <c r="I821" t="s">
        <v>16</v>
      </c>
      <c r="J821">
        <v>0.3</v>
      </c>
      <c r="K821" t="s">
        <v>17</v>
      </c>
      <c r="L821" t="s">
        <v>18</v>
      </c>
      <c r="M821" t="s">
        <v>27</v>
      </c>
      <c r="N821">
        <f>sales_data_1[[#This Row],[Unit_Price]]-sales_data_1[[#This Row],[Unit_Cost]]</f>
        <v>391.95000000000005</v>
      </c>
      <c r="O821">
        <f>sales_data_1[[#This Row],[Unit_Price]]*sales_data_1[[#This Row],[Quantity_Sold]]</f>
        <v>16402.98</v>
      </c>
      <c r="P821">
        <f>sales_data_1[[#This Row],[Unit - cost]]*sales_data_1[[#This Row],[Quantity_Sold]]</f>
        <v>11366.550000000001</v>
      </c>
    </row>
    <row r="822" spans="1:16" x14ac:dyDescent="0.3">
      <c r="A822">
        <v>1083</v>
      </c>
      <c r="B822" s="1">
        <v>44984</v>
      </c>
      <c r="C822" t="s">
        <v>41</v>
      </c>
      <c r="D822" t="s">
        <v>20</v>
      </c>
      <c r="E822">
        <v>20</v>
      </c>
      <c r="F822" t="s">
        <v>28</v>
      </c>
      <c r="G822">
        <v>3617.59</v>
      </c>
      <c r="H822">
        <v>4003.5</v>
      </c>
      <c r="I822" t="s">
        <v>29</v>
      </c>
      <c r="J822">
        <v>0.01</v>
      </c>
      <c r="K822" t="s">
        <v>30</v>
      </c>
      <c r="L822" t="s">
        <v>21</v>
      </c>
      <c r="M822" t="s">
        <v>50</v>
      </c>
      <c r="N822">
        <f>sales_data_1[[#This Row],[Unit_Price]]-sales_data_1[[#This Row],[Unit_Cost]]</f>
        <v>385.90999999999985</v>
      </c>
      <c r="O822">
        <f>sales_data_1[[#This Row],[Unit_Price]]*sales_data_1[[#This Row],[Quantity_Sold]]</f>
        <v>80070</v>
      </c>
      <c r="P822">
        <f>sales_data_1[[#This Row],[Unit - cost]]*sales_data_1[[#This Row],[Quantity_Sold]]</f>
        <v>7718.1999999999971</v>
      </c>
    </row>
    <row r="823" spans="1:16" x14ac:dyDescent="0.3">
      <c r="A823">
        <v>1017</v>
      </c>
      <c r="B823" s="1">
        <v>44941</v>
      </c>
      <c r="C823" t="s">
        <v>37</v>
      </c>
      <c r="D823" t="s">
        <v>14</v>
      </c>
      <c r="E823">
        <v>6</v>
      </c>
      <c r="F823" t="s">
        <v>15</v>
      </c>
      <c r="G823">
        <v>2594.42</v>
      </c>
      <c r="H823">
        <v>3081.04</v>
      </c>
      <c r="I823" t="s">
        <v>16</v>
      </c>
      <c r="J823">
        <v>0.1</v>
      </c>
      <c r="K823" t="s">
        <v>26</v>
      </c>
      <c r="L823" t="s">
        <v>21</v>
      </c>
      <c r="M823" t="s">
        <v>39</v>
      </c>
      <c r="N823">
        <f>sales_data_1[[#This Row],[Unit_Price]]-sales_data_1[[#This Row],[Unit_Cost]]</f>
        <v>486.61999999999989</v>
      </c>
      <c r="O823">
        <f>sales_data_1[[#This Row],[Unit_Price]]*sales_data_1[[#This Row],[Quantity_Sold]]</f>
        <v>18486.239999999998</v>
      </c>
      <c r="P823">
        <f>sales_data_1[[#This Row],[Unit - cost]]*sales_data_1[[#This Row],[Quantity_Sold]]</f>
        <v>2919.7199999999993</v>
      </c>
    </row>
    <row r="824" spans="1:16" x14ac:dyDescent="0.3">
      <c r="A824">
        <v>1085</v>
      </c>
      <c r="B824" s="1">
        <v>45088</v>
      </c>
      <c r="C824" t="s">
        <v>23</v>
      </c>
      <c r="D824" t="s">
        <v>33</v>
      </c>
      <c r="E824">
        <v>8</v>
      </c>
      <c r="F824" t="s">
        <v>25</v>
      </c>
      <c r="G824">
        <v>3048.48</v>
      </c>
      <c r="H824">
        <v>3198.54</v>
      </c>
      <c r="I824" t="s">
        <v>16</v>
      </c>
      <c r="J824">
        <v>0.03</v>
      </c>
      <c r="K824" t="s">
        <v>26</v>
      </c>
      <c r="L824" t="s">
        <v>18</v>
      </c>
      <c r="M824" t="s">
        <v>49</v>
      </c>
      <c r="N824">
        <f>sales_data_1[[#This Row],[Unit_Price]]-sales_data_1[[#This Row],[Unit_Cost]]</f>
        <v>150.05999999999995</v>
      </c>
      <c r="O824">
        <f>sales_data_1[[#This Row],[Unit_Price]]*sales_data_1[[#This Row],[Quantity_Sold]]</f>
        <v>25588.32</v>
      </c>
      <c r="P824">
        <f>sales_data_1[[#This Row],[Unit - cost]]*sales_data_1[[#This Row],[Quantity_Sold]]</f>
        <v>1200.4799999999996</v>
      </c>
    </row>
    <row r="825" spans="1:16" x14ac:dyDescent="0.3">
      <c r="A825">
        <v>1078</v>
      </c>
      <c r="B825" s="1">
        <v>45089</v>
      </c>
      <c r="C825" t="s">
        <v>32</v>
      </c>
      <c r="D825" t="s">
        <v>24</v>
      </c>
      <c r="E825">
        <v>29</v>
      </c>
      <c r="F825" t="s">
        <v>34</v>
      </c>
      <c r="G825">
        <v>3177.81</v>
      </c>
      <c r="H825">
        <v>3222.65</v>
      </c>
      <c r="I825" t="s">
        <v>16</v>
      </c>
      <c r="J825">
        <v>0.08</v>
      </c>
      <c r="K825" t="s">
        <v>30</v>
      </c>
      <c r="L825" t="s">
        <v>21</v>
      </c>
      <c r="M825" t="s">
        <v>43</v>
      </c>
      <c r="N825">
        <f>sales_data_1[[#This Row],[Unit_Price]]-sales_data_1[[#This Row],[Unit_Cost]]</f>
        <v>44.840000000000146</v>
      </c>
      <c r="O825">
        <f>sales_data_1[[#This Row],[Unit_Price]]*sales_data_1[[#This Row],[Quantity_Sold]]</f>
        <v>93456.85</v>
      </c>
      <c r="P825">
        <f>sales_data_1[[#This Row],[Unit - cost]]*sales_data_1[[#This Row],[Quantity_Sold]]</f>
        <v>1300.3600000000042</v>
      </c>
    </row>
    <row r="826" spans="1:16" x14ac:dyDescent="0.3">
      <c r="A826">
        <v>1073</v>
      </c>
      <c r="B826" s="1">
        <v>45246</v>
      </c>
      <c r="C826" t="s">
        <v>23</v>
      </c>
      <c r="D826" t="s">
        <v>24</v>
      </c>
      <c r="E826">
        <v>48</v>
      </c>
      <c r="F826" t="s">
        <v>28</v>
      </c>
      <c r="G826">
        <v>2658.9</v>
      </c>
      <c r="H826">
        <v>2838.27</v>
      </c>
      <c r="I826" t="s">
        <v>29</v>
      </c>
      <c r="J826">
        <v>0.25</v>
      </c>
      <c r="K826" t="s">
        <v>30</v>
      </c>
      <c r="L826" t="s">
        <v>18</v>
      </c>
      <c r="M826" t="s">
        <v>27</v>
      </c>
      <c r="N826">
        <f>sales_data_1[[#This Row],[Unit_Price]]-sales_data_1[[#This Row],[Unit_Cost]]</f>
        <v>179.36999999999989</v>
      </c>
      <c r="O826">
        <f>sales_data_1[[#This Row],[Unit_Price]]*sales_data_1[[#This Row],[Quantity_Sold]]</f>
        <v>136236.96</v>
      </c>
      <c r="P826">
        <f>sales_data_1[[#This Row],[Unit - cost]]*sales_data_1[[#This Row],[Quantity_Sold]]</f>
        <v>8609.7599999999948</v>
      </c>
    </row>
    <row r="827" spans="1:16" x14ac:dyDescent="0.3">
      <c r="A827">
        <v>1001</v>
      </c>
      <c r="B827" s="1">
        <v>45207</v>
      </c>
      <c r="C827" t="s">
        <v>13</v>
      </c>
      <c r="D827" t="s">
        <v>20</v>
      </c>
      <c r="E827">
        <v>33</v>
      </c>
      <c r="F827" t="s">
        <v>15</v>
      </c>
      <c r="G827">
        <v>2933.54</v>
      </c>
      <c r="H827">
        <v>3307.75</v>
      </c>
      <c r="I827" t="s">
        <v>16</v>
      </c>
      <c r="J827">
        <v>0.01</v>
      </c>
      <c r="K827" t="s">
        <v>26</v>
      </c>
      <c r="L827" t="s">
        <v>21</v>
      </c>
      <c r="M827" t="s">
        <v>22</v>
      </c>
      <c r="N827">
        <f>sales_data_1[[#This Row],[Unit_Price]]-sales_data_1[[#This Row],[Unit_Cost]]</f>
        <v>374.21000000000004</v>
      </c>
      <c r="O827">
        <f>sales_data_1[[#This Row],[Unit_Price]]*sales_data_1[[#This Row],[Quantity_Sold]]</f>
        <v>109155.75</v>
      </c>
      <c r="P827">
        <f>sales_data_1[[#This Row],[Unit - cost]]*sales_data_1[[#This Row],[Quantity_Sold]]</f>
        <v>12348.93</v>
      </c>
    </row>
    <row r="828" spans="1:16" x14ac:dyDescent="0.3">
      <c r="A828">
        <v>1051</v>
      </c>
      <c r="B828" s="1">
        <v>45206</v>
      </c>
      <c r="C828" t="s">
        <v>13</v>
      </c>
      <c r="D828" t="s">
        <v>20</v>
      </c>
      <c r="E828">
        <v>3</v>
      </c>
      <c r="F828" t="s">
        <v>15</v>
      </c>
      <c r="G828">
        <v>3434.75</v>
      </c>
      <c r="H828">
        <v>3659.42</v>
      </c>
      <c r="I828" t="s">
        <v>29</v>
      </c>
      <c r="J828">
        <v>0.16</v>
      </c>
      <c r="K828" t="s">
        <v>17</v>
      </c>
      <c r="L828" t="s">
        <v>18</v>
      </c>
      <c r="M828" t="s">
        <v>22</v>
      </c>
      <c r="N828">
        <f>sales_data_1[[#This Row],[Unit_Price]]-sales_data_1[[#This Row],[Unit_Cost]]</f>
        <v>224.67000000000007</v>
      </c>
      <c r="O828">
        <f>sales_data_1[[#This Row],[Unit_Price]]*sales_data_1[[#This Row],[Quantity_Sold]]</f>
        <v>10978.26</v>
      </c>
      <c r="P828">
        <f>sales_data_1[[#This Row],[Unit - cost]]*sales_data_1[[#This Row],[Quantity_Sold]]</f>
        <v>674.01000000000022</v>
      </c>
    </row>
    <row r="829" spans="1:16" x14ac:dyDescent="0.3">
      <c r="A829">
        <v>1045</v>
      </c>
      <c r="B829" s="1">
        <v>44938</v>
      </c>
      <c r="C829" t="s">
        <v>32</v>
      </c>
      <c r="D829" t="s">
        <v>24</v>
      </c>
      <c r="E829">
        <v>35</v>
      </c>
      <c r="F829" t="s">
        <v>15</v>
      </c>
      <c r="G829">
        <v>3777.94</v>
      </c>
      <c r="H829">
        <v>4188.66</v>
      </c>
      <c r="I829" t="s">
        <v>29</v>
      </c>
      <c r="J829">
        <v>0.17</v>
      </c>
      <c r="K829" t="s">
        <v>26</v>
      </c>
      <c r="L829" t="s">
        <v>18</v>
      </c>
      <c r="M829" t="s">
        <v>43</v>
      </c>
      <c r="N829">
        <f>sales_data_1[[#This Row],[Unit_Price]]-sales_data_1[[#This Row],[Unit_Cost]]</f>
        <v>410.7199999999998</v>
      </c>
      <c r="O829">
        <f>sales_data_1[[#This Row],[Unit_Price]]*sales_data_1[[#This Row],[Quantity_Sold]]</f>
        <v>146603.1</v>
      </c>
      <c r="P829">
        <f>sales_data_1[[#This Row],[Unit - cost]]*sales_data_1[[#This Row],[Quantity_Sold]]</f>
        <v>14375.199999999993</v>
      </c>
    </row>
    <row r="830" spans="1:16" x14ac:dyDescent="0.3">
      <c r="A830">
        <v>1077</v>
      </c>
      <c r="B830" s="1">
        <v>45200</v>
      </c>
      <c r="C830" t="s">
        <v>41</v>
      </c>
      <c r="D830" t="s">
        <v>20</v>
      </c>
      <c r="E830">
        <v>5</v>
      </c>
      <c r="F830" t="s">
        <v>34</v>
      </c>
      <c r="G830">
        <v>3650.89</v>
      </c>
      <c r="H830">
        <v>3930.06</v>
      </c>
      <c r="I830" t="s">
        <v>29</v>
      </c>
      <c r="J830">
        <v>0.17</v>
      </c>
      <c r="K830" t="s">
        <v>26</v>
      </c>
      <c r="L830" t="s">
        <v>18</v>
      </c>
      <c r="M830" t="s">
        <v>50</v>
      </c>
      <c r="N830">
        <f>sales_data_1[[#This Row],[Unit_Price]]-sales_data_1[[#This Row],[Unit_Cost]]</f>
        <v>279.17000000000007</v>
      </c>
      <c r="O830">
        <f>sales_data_1[[#This Row],[Unit_Price]]*sales_data_1[[#This Row],[Quantity_Sold]]</f>
        <v>19650.3</v>
      </c>
      <c r="P830">
        <f>sales_data_1[[#This Row],[Unit - cost]]*sales_data_1[[#This Row],[Quantity_Sold]]</f>
        <v>1395.8500000000004</v>
      </c>
    </row>
    <row r="831" spans="1:16" x14ac:dyDescent="0.3">
      <c r="A831">
        <v>1004</v>
      </c>
      <c r="B831" s="1">
        <v>45197</v>
      </c>
      <c r="C831" t="s">
        <v>37</v>
      </c>
      <c r="D831" t="s">
        <v>24</v>
      </c>
      <c r="E831">
        <v>27</v>
      </c>
      <c r="F831" t="s">
        <v>28</v>
      </c>
      <c r="G831">
        <v>4354.6000000000004</v>
      </c>
      <c r="H831">
        <v>4820.2000000000007</v>
      </c>
      <c r="I831" t="s">
        <v>29</v>
      </c>
      <c r="J831">
        <v>0.14000000000000001</v>
      </c>
      <c r="K831" t="s">
        <v>30</v>
      </c>
      <c r="L831" t="s">
        <v>21</v>
      </c>
      <c r="M831" t="s">
        <v>38</v>
      </c>
      <c r="N831">
        <f>sales_data_1[[#This Row],[Unit_Price]]-sales_data_1[[#This Row],[Unit_Cost]]</f>
        <v>465.60000000000036</v>
      </c>
      <c r="O831">
        <f>sales_data_1[[#This Row],[Unit_Price]]*sales_data_1[[#This Row],[Quantity_Sold]]</f>
        <v>130145.40000000002</v>
      </c>
      <c r="P831">
        <f>sales_data_1[[#This Row],[Unit - cost]]*sales_data_1[[#This Row],[Quantity_Sold]]</f>
        <v>12571.20000000001</v>
      </c>
    </row>
    <row r="832" spans="1:16" x14ac:dyDescent="0.3">
      <c r="A832">
        <v>1062</v>
      </c>
      <c r="B832" s="1">
        <v>45134</v>
      </c>
      <c r="C832" t="s">
        <v>23</v>
      </c>
      <c r="D832" t="s">
        <v>24</v>
      </c>
      <c r="E832">
        <v>44</v>
      </c>
      <c r="F832" t="s">
        <v>34</v>
      </c>
      <c r="G832">
        <v>987.74</v>
      </c>
      <c r="H832">
        <v>1462.19</v>
      </c>
      <c r="I832" t="s">
        <v>29</v>
      </c>
      <c r="J832">
        <v>0.24</v>
      </c>
      <c r="K832" t="s">
        <v>26</v>
      </c>
      <c r="L832" t="s">
        <v>18</v>
      </c>
      <c r="M832" t="s">
        <v>27</v>
      </c>
      <c r="N832">
        <f>sales_data_1[[#This Row],[Unit_Price]]-sales_data_1[[#This Row],[Unit_Cost]]</f>
        <v>474.45000000000005</v>
      </c>
      <c r="O832">
        <f>sales_data_1[[#This Row],[Unit_Price]]*sales_data_1[[#This Row],[Quantity_Sold]]</f>
        <v>64336.36</v>
      </c>
      <c r="P832">
        <f>sales_data_1[[#This Row],[Unit - cost]]*sales_data_1[[#This Row],[Quantity_Sold]]</f>
        <v>20875.800000000003</v>
      </c>
    </row>
    <row r="833" spans="1:16" x14ac:dyDescent="0.3">
      <c r="A833">
        <v>1065</v>
      </c>
      <c r="B833" s="1">
        <v>44953</v>
      </c>
      <c r="C833" t="s">
        <v>13</v>
      </c>
      <c r="D833" t="s">
        <v>24</v>
      </c>
      <c r="E833">
        <v>12</v>
      </c>
      <c r="F833" t="s">
        <v>34</v>
      </c>
      <c r="G833">
        <v>2035.68</v>
      </c>
      <c r="H833">
        <v>2079.64</v>
      </c>
      <c r="I833" t="s">
        <v>16</v>
      </c>
      <c r="J833">
        <v>0.04</v>
      </c>
      <c r="K833" t="s">
        <v>17</v>
      </c>
      <c r="L833" t="s">
        <v>18</v>
      </c>
      <c r="M833" t="s">
        <v>31</v>
      </c>
      <c r="N833">
        <f>sales_data_1[[#This Row],[Unit_Price]]-sales_data_1[[#This Row],[Unit_Cost]]</f>
        <v>43.959999999999809</v>
      </c>
      <c r="O833">
        <f>sales_data_1[[#This Row],[Unit_Price]]*sales_data_1[[#This Row],[Quantity_Sold]]</f>
        <v>24955.68</v>
      </c>
      <c r="P833">
        <f>sales_data_1[[#This Row],[Unit - cost]]*sales_data_1[[#This Row],[Quantity_Sold]]</f>
        <v>527.51999999999771</v>
      </c>
    </row>
    <row r="834" spans="1:16" x14ac:dyDescent="0.3">
      <c r="A834">
        <v>1032</v>
      </c>
      <c r="B834" s="1">
        <v>44998</v>
      </c>
      <c r="C834" t="s">
        <v>41</v>
      </c>
      <c r="D834" t="s">
        <v>14</v>
      </c>
      <c r="E834">
        <v>20</v>
      </c>
      <c r="F834" t="s">
        <v>34</v>
      </c>
      <c r="G834">
        <v>4741.59</v>
      </c>
      <c r="H834">
        <v>4975.2300000000005</v>
      </c>
      <c r="I834" t="s">
        <v>29</v>
      </c>
      <c r="J834">
        <v>0.09</v>
      </c>
      <c r="K834" t="s">
        <v>30</v>
      </c>
      <c r="L834" t="s">
        <v>18</v>
      </c>
      <c r="M834" t="s">
        <v>48</v>
      </c>
      <c r="N834">
        <f>sales_data_1[[#This Row],[Unit_Price]]-sales_data_1[[#This Row],[Unit_Cost]]</f>
        <v>233.64000000000033</v>
      </c>
      <c r="O834">
        <f>sales_data_1[[#This Row],[Unit_Price]]*sales_data_1[[#This Row],[Quantity_Sold]]</f>
        <v>99504.6</v>
      </c>
      <c r="P834">
        <f>sales_data_1[[#This Row],[Unit - cost]]*sales_data_1[[#This Row],[Quantity_Sold]]</f>
        <v>4672.8000000000065</v>
      </c>
    </row>
    <row r="835" spans="1:16" x14ac:dyDescent="0.3">
      <c r="A835">
        <v>1034</v>
      </c>
      <c r="B835" s="1">
        <v>44986</v>
      </c>
      <c r="C835" t="s">
        <v>32</v>
      </c>
      <c r="D835" t="s">
        <v>20</v>
      </c>
      <c r="E835">
        <v>45</v>
      </c>
      <c r="F835" t="s">
        <v>25</v>
      </c>
      <c r="G835">
        <v>2013.12</v>
      </c>
      <c r="H835">
        <v>2321.87</v>
      </c>
      <c r="I835" t="s">
        <v>29</v>
      </c>
      <c r="J835">
        <v>0.18</v>
      </c>
      <c r="K835" t="s">
        <v>26</v>
      </c>
      <c r="L835" t="s">
        <v>21</v>
      </c>
      <c r="M835" t="s">
        <v>36</v>
      </c>
      <c r="N835">
        <f>sales_data_1[[#This Row],[Unit_Price]]-sales_data_1[[#This Row],[Unit_Cost]]</f>
        <v>308.75</v>
      </c>
      <c r="O835">
        <f>sales_data_1[[#This Row],[Unit_Price]]*sales_data_1[[#This Row],[Quantity_Sold]]</f>
        <v>104484.15</v>
      </c>
      <c r="P835">
        <f>sales_data_1[[#This Row],[Unit - cost]]*sales_data_1[[#This Row],[Quantity_Sold]]</f>
        <v>13893.75</v>
      </c>
    </row>
    <row r="836" spans="1:16" x14ac:dyDescent="0.3">
      <c r="A836">
        <v>1092</v>
      </c>
      <c r="B836" s="1">
        <v>45071</v>
      </c>
      <c r="C836" t="s">
        <v>13</v>
      </c>
      <c r="D836" t="s">
        <v>33</v>
      </c>
      <c r="E836">
        <v>20</v>
      </c>
      <c r="F836" t="s">
        <v>25</v>
      </c>
      <c r="G836">
        <v>668.11</v>
      </c>
      <c r="H836">
        <v>803.49</v>
      </c>
      <c r="I836" t="s">
        <v>29</v>
      </c>
      <c r="J836">
        <v>0.21</v>
      </c>
      <c r="K836" t="s">
        <v>26</v>
      </c>
      <c r="L836" t="s">
        <v>18</v>
      </c>
      <c r="M836" t="s">
        <v>45</v>
      </c>
      <c r="N836">
        <f>sales_data_1[[#This Row],[Unit_Price]]-sales_data_1[[#This Row],[Unit_Cost]]</f>
        <v>135.38</v>
      </c>
      <c r="O836">
        <f>sales_data_1[[#This Row],[Unit_Price]]*sales_data_1[[#This Row],[Quantity_Sold]]</f>
        <v>16069.8</v>
      </c>
      <c r="P836">
        <f>sales_data_1[[#This Row],[Unit - cost]]*sales_data_1[[#This Row],[Quantity_Sold]]</f>
        <v>2707.6</v>
      </c>
    </row>
    <row r="837" spans="1:16" x14ac:dyDescent="0.3">
      <c r="A837">
        <v>1095</v>
      </c>
      <c r="B837" s="1">
        <v>45019</v>
      </c>
      <c r="C837" t="s">
        <v>32</v>
      </c>
      <c r="D837" t="s">
        <v>33</v>
      </c>
      <c r="E837">
        <v>9</v>
      </c>
      <c r="F837" t="s">
        <v>25</v>
      </c>
      <c r="G837">
        <v>2650.95</v>
      </c>
      <c r="H837">
        <v>2860.4199999999996</v>
      </c>
      <c r="I837" t="s">
        <v>29</v>
      </c>
      <c r="J837">
        <v>0.12</v>
      </c>
      <c r="K837" t="s">
        <v>17</v>
      </c>
      <c r="L837" t="s">
        <v>21</v>
      </c>
      <c r="M837" t="s">
        <v>35</v>
      </c>
      <c r="N837">
        <f>sales_data_1[[#This Row],[Unit_Price]]-sales_data_1[[#This Row],[Unit_Cost]]</f>
        <v>209.4699999999998</v>
      </c>
      <c r="O837">
        <f>sales_data_1[[#This Row],[Unit_Price]]*sales_data_1[[#This Row],[Quantity_Sold]]</f>
        <v>25743.779999999995</v>
      </c>
      <c r="P837">
        <f>sales_data_1[[#This Row],[Unit - cost]]*sales_data_1[[#This Row],[Quantity_Sold]]</f>
        <v>1885.2299999999982</v>
      </c>
    </row>
    <row r="838" spans="1:16" x14ac:dyDescent="0.3">
      <c r="A838">
        <v>1072</v>
      </c>
      <c r="B838" s="1">
        <v>45235</v>
      </c>
      <c r="C838" t="s">
        <v>23</v>
      </c>
      <c r="D838" t="s">
        <v>20</v>
      </c>
      <c r="E838">
        <v>39</v>
      </c>
      <c r="F838" t="s">
        <v>28</v>
      </c>
      <c r="G838">
        <v>591.98</v>
      </c>
      <c r="H838">
        <v>934.04</v>
      </c>
      <c r="I838" t="s">
        <v>29</v>
      </c>
      <c r="J838">
        <v>0.26</v>
      </c>
      <c r="K838" t="s">
        <v>26</v>
      </c>
      <c r="L838" t="s">
        <v>21</v>
      </c>
      <c r="M838" t="s">
        <v>46</v>
      </c>
      <c r="N838">
        <f>sales_data_1[[#This Row],[Unit_Price]]-sales_data_1[[#This Row],[Unit_Cost]]</f>
        <v>342.05999999999995</v>
      </c>
      <c r="O838">
        <f>sales_data_1[[#This Row],[Unit_Price]]*sales_data_1[[#This Row],[Quantity_Sold]]</f>
        <v>36427.56</v>
      </c>
      <c r="P838">
        <f>sales_data_1[[#This Row],[Unit - cost]]*sales_data_1[[#This Row],[Quantity_Sold]]</f>
        <v>13340.339999999998</v>
      </c>
    </row>
    <row r="839" spans="1:16" x14ac:dyDescent="0.3">
      <c r="A839">
        <v>1039</v>
      </c>
      <c r="B839" s="1">
        <v>44934</v>
      </c>
      <c r="C839" t="s">
        <v>37</v>
      </c>
      <c r="D839" t="s">
        <v>24</v>
      </c>
      <c r="E839">
        <v>4</v>
      </c>
      <c r="F839" t="s">
        <v>34</v>
      </c>
      <c r="G839">
        <v>1054.1199999999999</v>
      </c>
      <c r="H839">
        <v>1175.2199999999998</v>
      </c>
      <c r="I839" t="s">
        <v>16</v>
      </c>
      <c r="J839">
        <v>0.12</v>
      </c>
      <c r="K839" t="s">
        <v>26</v>
      </c>
      <c r="L839" t="s">
        <v>21</v>
      </c>
      <c r="M839" t="s">
        <v>38</v>
      </c>
      <c r="N839">
        <f>sales_data_1[[#This Row],[Unit_Price]]-sales_data_1[[#This Row],[Unit_Cost]]</f>
        <v>121.09999999999991</v>
      </c>
      <c r="O839">
        <f>sales_data_1[[#This Row],[Unit_Price]]*sales_data_1[[#This Row],[Quantity_Sold]]</f>
        <v>4700.8799999999992</v>
      </c>
      <c r="P839">
        <f>sales_data_1[[#This Row],[Unit - cost]]*sales_data_1[[#This Row],[Quantity_Sold]]</f>
        <v>484.39999999999964</v>
      </c>
    </row>
    <row r="840" spans="1:16" x14ac:dyDescent="0.3">
      <c r="A840">
        <v>1026</v>
      </c>
      <c r="B840" s="1">
        <v>45005</v>
      </c>
      <c r="C840" t="s">
        <v>13</v>
      </c>
      <c r="D840" t="s">
        <v>33</v>
      </c>
      <c r="E840">
        <v>19</v>
      </c>
      <c r="F840" t="s">
        <v>34</v>
      </c>
      <c r="G840">
        <v>4991.68</v>
      </c>
      <c r="H840">
        <v>5296.6500000000015</v>
      </c>
      <c r="I840" t="s">
        <v>29</v>
      </c>
      <c r="J840">
        <v>0.12</v>
      </c>
      <c r="K840" t="s">
        <v>26</v>
      </c>
      <c r="L840" t="s">
        <v>18</v>
      </c>
      <c r="M840" t="s">
        <v>45</v>
      </c>
      <c r="N840">
        <f>sales_data_1[[#This Row],[Unit_Price]]-sales_data_1[[#This Row],[Unit_Cost]]</f>
        <v>304.97000000000116</v>
      </c>
      <c r="O840">
        <f>sales_data_1[[#This Row],[Unit_Price]]*sales_data_1[[#This Row],[Quantity_Sold]]</f>
        <v>100636.35000000003</v>
      </c>
      <c r="P840">
        <f>sales_data_1[[#This Row],[Unit - cost]]*sales_data_1[[#This Row],[Quantity_Sold]]</f>
        <v>5794.4300000000221</v>
      </c>
    </row>
    <row r="841" spans="1:16" x14ac:dyDescent="0.3">
      <c r="A841">
        <v>1034</v>
      </c>
      <c r="B841" s="1">
        <v>44953</v>
      </c>
      <c r="C841" t="s">
        <v>13</v>
      </c>
      <c r="D841" t="s">
        <v>33</v>
      </c>
      <c r="E841">
        <v>38</v>
      </c>
      <c r="F841" t="s">
        <v>25</v>
      </c>
      <c r="G841">
        <v>2729.75</v>
      </c>
      <c r="H841">
        <v>3081.5</v>
      </c>
      <c r="I841" t="s">
        <v>29</v>
      </c>
      <c r="J841">
        <v>0.01</v>
      </c>
      <c r="K841" t="s">
        <v>26</v>
      </c>
      <c r="L841" t="s">
        <v>18</v>
      </c>
      <c r="M841" t="s">
        <v>45</v>
      </c>
      <c r="N841">
        <f>sales_data_1[[#This Row],[Unit_Price]]-sales_data_1[[#This Row],[Unit_Cost]]</f>
        <v>351.75</v>
      </c>
      <c r="O841">
        <f>sales_data_1[[#This Row],[Unit_Price]]*sales_data_1[[#This Row],[Quantity_Sold]]</f>
        <v>117097</v>
      </c>
      <c r="P841">
        <f>sales_data_1[[#This Row],[Unit - cost]]*sales_data_1[[#This Row],[Quantity_Sold]]</f>
        <v>13366.5</v>
      </c>
    </row>
    <row r="842" spans="1:16" x14ac:dyDescent="0.3">
      <c r="A842">
        <v>1054</v>
      </c>
      <c r="B842" s="1">
        <v>45100</v>
      </c>
      <c r="C842" t="s">
        <v>23</v>
      </c>
      <c r="D842" t="s">
        <v>20</v>
      </c>
      <c r="E842">
        <v>27</v>
      </c>
      <c r="F842" t="s">
        <v>34</v>
      </c>
      <c r="G842">
        <v>1456.09</v>
      </c>
      <c r="H842">
        <v>1510.4299999999998</v>
      </c>
      <c r="I842" t="s">
        <v>16</v>
      </c>
      <c r="J842">
        <v>0.17</v>
      </c>
      <c r="K842" t="s">
        <v>17</v>
      </c>
      <c r="L842" t="s">
        <v>21</v>
      </c>
      <c r="M842" t="s">
        <v>46</v>
      </c>
      <c r="N842">
        <f>sales_data_1[[#This Row],[Unit_Price]]-sales_data_1[[#This Row],[Unit_Cost]]</f>
        <v>54.339999999999918</v>
      </c>
      <c r="O842">
        <f>sales_data_1[[#This Row],[Unit_Price]]*sales_data_1[[#This Row],[Quantity_Sold]]</f>
        <v>40781.609999999993</v>
      </c>
      <c r="P842">
        <f>sales_data_1[[#This Row],[Unit - cost]]*sales_data_1[[#This Row],[Quantity_Sold]]</f>
        <v>1467.1799999999978</v>
      </c>
    </row>
    <row r="843" spans="1:16" x14ac:dyDescent="0.3">
      <c r="A843">
        <v>1003</v>
      </c>
      <c r="B843" s="1">
        <v>44976</v>
      </c>
      <c r="C843" t="s">
        <v>41</v>
      </c>
      <c r="D843" t="s">
        <v>33</v>
      </c>
      <c r="E843">
        <v>45</v>
      </c>
      <c r="F843" t="s">
        <v>34</v>
      </c>
      <c r="G843">
        <v>4974.1400000000003</v>
      </c>
      <c r="H843">
        <v>5227.93</v>
      </c>
      <c r="I843" t="s">
        <v>29</v>
      </c>
      <c r="J843">
        <v>0.21</v>
      </c>
      <c r="K843" t="s">
        <v>26</v>
      </c>
      <c r="L843" t="s">
        <v>18</v>
      </c>
      <c r="M843" t="s">
        <v>51</v>
      </c>
      <c r="N843">
        <f>sales_data_1[[#This Row],[Unit_Price]]-sales_data_1[[#This Row],[Unit_Cost]]</f>
        <v>253.78999999999996</v>
      </c>
      <c r="O843">
        <f>sales_data_1[[#This Row],[Unit_Price]]*sales_data_1[[#This Row],[Quantity_Sold]]</f>
        <v>235256.85</v>
      </c>
      <c r="P843">
        <f>sales_data_1[[#This Row],[Unit - cost]]*sales_data_1[[#This Row],[Quantity_Sold]]</f>
        <v>11420.55</v>
      </c>
    </row>
    <row r="844" spans="1:16" x14ac:dyDescent="0.3">
      <c r="A844">
        <v>1050</v>
      </c>
      <c r="B844" s="1">
        <v>45125</v>
      </c>
      <c r="C844" t="s">
        <v>37</v>
      </c>
      <c r="D844" t="s">
        <v>24</v>
      </c>
      <c r="E844">
        <v>43</v>
      </c>
      <c r="F844" t="s">
        <v>15</v>
      </c>
      <c r="G844">
        <v>4834.47</v>
      </c>
      <c r="H844">
        <v>4973.38</v>
      </c>
      <c r="I844" t="s">
        <v>16</v>
      </c>
      <c r="J844">
        <v>0.03</v>
      </c>
      <c r="K844" t="s">
        <v>26</v>
      </c>
      <c r="L844" t="s">
        <v>18</v>
      </c>
      <c r="M844" t="s">
        <v>38</v>
      </c>
      <c r="N844">
        <f>sales_data_1[[#This Row],[Unit_Price]]-sales_data_1[[#This Row],[Unit_Cost]]</f>
        <v>138.90999999999985</v>
      </c>
      <c r="O844">
        <f>sales_data_1[[#This Row],[Unit_Price]]*sales_data_1[[#This Row],[Quantity_Sold]]</f>
        <v>213855.34</v>
      </c>
      <c r="P844">
        <f>sales_data_1[[#This Row],[Unit - cost]]*sales_data_1[[#This Row],[Quantity_Sold]]</f>
        <v>5973.1299999999937</v>
      </c>
    </row>
    <row r="845" spans="1:16" x14ac:dyDescent="0.3">
      <c r="A845">
        <v>1012</v>
      </c>
      <c r="B845" s="1">
        <v>45275</v>
      </c>
      <c r="C845" t="s">
        <v>13</v>
      </c>
      <c r="D845" t="s">
        <v>20</v>
      </c>
      <c r="E845">
        <v>13</v>
      </c>
      <c r="F845" t="s">
        <v>34</v>
      </c>
      <c r="G845">
        <v>2231.66</v>
      </c>
      <c r="H845">
        <v>2596.6099999999997</v>
      </c>
      <c r="I845" t="s">
        <v>16</v>
      </c>
      <c r="J845">
        <v>0.09</v>
      </c>
      <c r="K845" t="s">
        <v>26</v>
      </c>
      <c r="L845" t="s">
        <v>21</v>
      </c>
      <c r="M845" t="s">
        <v>22</v>
      </c>
      <c r="N845">
        <f>sales_data_1[[#This Row],[Unit_Price]]-sales_data_1[[#This Row],[Unit_Cost]]</f>
        <v>364.94999999999982</v>
      </c>
      <c r="O845">
        <f>sales_data_1[[#This Row],[Unit_Price]]*sales_data_1[[#This Row],[Quantity_Sold]]</f>
        <v>33755.929999999993</v>
      </c>
      <c r="P845">
        <f>sales_data_1[[#This Row],[Unit - cost]]*sales_data_1[[#This Row],[Quantity_Sold]]</f>
        <v>4744.3499999999976</v>
      </c>
    </row>
    <row r="846" spans="1:16" x14ac:dyDescent="0.3">
      <c r="A846">
        <v>1065</v>
      </c>
      <c r="B846" s="1">
        <v>45107</v>
      </c>
      <c r="C846" t="s">
        <v>37</v>
      </c>
      <c r="D846" t="s">
        <v>24</v>
      </c>
      <c r="E846">
        <v>13</v>
      </c>
      <c r="F846" t="s">
        <v>15</v>
      </c>
      <c r="G846">
        <v>1339</v>
      </c>
      <c r="H846">
        <v>1441.88</v>
      </c>
      <c r="I846" t="s">
        <v>16</v>
      </c>
      <c r="J846">
        <v>0.23</v>
      </c>
      <c r="K846" t="s">
        <v>30</v>
      </c>
      <c r="L846" t="s">
        <v>21</v>
      </c>
      <c r="M846" t="s">
        <v>38</v>
      </c>
      <c r="N846">
        <f>sales_data_1[[#This Row],[Unit_Price]]-sales_data_1[[#This Row],[Unit_Cost]]</f>
        <v>102.88000000000011</v>
      </c>
      <c r="O846">
        <f>sales_data_1[[#This Row],[Unit_Price]]*sales_data_1[[#This Row],[Quantity_Sold]]</f>
        <v>18744.440000000002</v>
      </c>
      <c r="P846">
        <f>sales_data_1[[#This Row],[Unit - cost]]*sales_data_1[[#This Row],[Quantity_Sold]]</f>
        <v>1337.4400000000014</v>
      </c>
    </row>
    <row r="847" spans="1:16" x14ac:dyDescent="0.3">
      <c r="A847">
        <v>1054</v>
      </c>
      <c r="B847" s="1">
        <v>44950</v>
      </c>
      <c r="C847" t="s">
        <v>13</v>
      </c>
      <c r="D847" t="s">
        <v>33</v>
      </c>
      <c r="E847">
        <v>22</v>
      </c>
      <c r="F847" t="s">
        <v>34</v>
      </c>
      <c r="G847">
        <v>4200.08</v>
      </c>
      <c r="H847">
        <v>4647.28</v>
      </c>
      <c r="I847" t="s">
        <v>16</v>
      </c>
      <c r="J847">
        <v>0.11</v>
      </c>
      <c r="K847" t="s">
        <v>17</v>
      </c>
      <c r="L847" t="s">
        <v>18</v>
      </c>
      <c r="M847" t="s">
        <v>45</v>
      </c>
      <c r="N847">
        <f>sales_data_1[[#This Row],[Unit_Price]]-sales_data_1[[#This Row],[Unit_Cost]]</f>
        <v>447.19999999999982</v>
      </c>
      <c r="O847">
        <f>sales_data_1[[#This Row],[Unit_Price]]*sales_data_1[[#This Row],[Quantity_Sold]]</f>
        <v>102240.15999999999</v>
      </c>
      <c r="P847">
        <f>sales_data_1[[#This Row],[Unit - cost]]*sales_data_1[[#This Row],[Quantity_Sold]]</f>
        <v>9838.399999999996</v>
      </c>
    </row>
    <row r="848" spans="1:16" x14ac:dyDescent="0.3">
      <c r="A848">
        <v>1005</v>
      </c>
      <c r="B848" s="1">
        <v>45242</v>
      </c>
      <c r="C848" t="s">
        <v>37</v>
      </c>
      <c r="D848" t="s">
        <v>33</v>
      </c>
      <c r="E848">
        <v>28</v>
      </c>
      <c r="F848" t="s">
        <v>28</v>
      </c>
      <c r="G848">
        <v>3592.32</v>
      </c>
      <c r="H848">
        <v>3813.48</v>
      </c>
      <c r="I848" t="s">
        <v>29</v>
      </c>
      <c r="J848">
        <v>7.0000000000000007E-2</v>
      </c>
      <c r="K848" t="s">
        <v>30</v>
      </c>
      <c r="L848" t="s">
        <v>21</v>
      </c>
      <c r="M848" t="s">
        <v>47</v>
      </c>
      <c r="N848">
        <f>sales_data_1[[#This Row],[Unit_Price]]-sales_data_1[[#This Row],[Unit_Cost]]</f>
        <v>221.15999999999985</v>
      </c>
      <c r="O848">
        <f>sales_data_1[[#This Row],[Unit_Price]]*sales_data_1[[#This Row],[Quantity_Sold]]</f>
        <v>106777.44</v>
      </c>
      <c r="P848">
        <f>sales_data_1[[#This Row],[Unit - cost]]*sales_data_1[[#This Row],[Quantity_Sold]]</f>
        <v>6192.4799999999959</v>
      </c>
    </row>
    <row r="849" spans="1:16" x14ac:dyDescent="0.3">
      <c r="A849">
        <v>1094</v>
      </c>
      <c r="B849" s="1">
        <v>44972</v>
      </c>
      <c r="C849" t="s">
        <v>32</v>
      </c>
      <c r="D849" t="s">
        <v>24</v>
      </c>
      <c r="E849">
        <v>47</v>
      </c>
      <c r="F849" t="s">
        <v>25</v>
      </c>
      <c r="G849">
        <v>3450.36</v>
      </c>
      <c r="H849">
        <v>3557.38</v>
      </c>
      <c r="I849" t="s">
        <v>29</v>
      </c>
      <c r="J849">
        <v>0.2</v>
      </c>
      <c r="K849" t="s">
        <v>30</v>
      </c>
      <c r="L849" t="s">
        <v>18</v>
      </c>
      <c r="M849" t="s">
        <v>43</v>
      </c>
      <c r="N849">
        <f>sales_data_1[[#This Row],[Unit_Price]]-sales_data_1[[#This Row],[Unit_Cost]]</f>
        <v>107.01999999999998</v>
      </c>
      <c r="O849">
        <f>sales_data_1[[#This Row],[Unit_Price]]*sales_data_1[[#This Row],[Quantity_Sold]]</f>
        <v>167196.86000000002</v>
      </c>
      <c r="P849">
        <f>sales_data_1[[#This Row],[Unit - cost]]*sales_data_1[[#This Row],[Quantity_Sold]]</f>
        <v>5029.9399999999987</v>
      </c>
    </row>
    <row r="850" spans="1:16" x14ac:dyDescent="0.3">
      <c r="A850">
        <v>1094</v>
      </c>
      <c r="B850" s="1">
        <v>44941</v>
      </c>
      <c r="C850" t="s">
        <v>13</v>
      </c>
      <c r="D850" t="s">
        <v>14</v>
      </c>
      <c r="E850">
        <v>45</v>
      </c>
      <c r="F850" t="s">
        <v>15</v>
      </c>
      <c r="G850">
        <v>4470.91</v>
      </c>
      <c r="H850">
        <v>4695.54</v>
      </c>
      <c r="I850" t="s">
        <v>16</v>
      </c>
      <c r="J850">
        <v>0.06</v>
      </c>
      <c r="K850" t="s">
        <v>17</v>
      </c>
      <c r="L850" t="s">
        <v>21</v>
      </c>
      <c r="M850" t="s">
        <v>19</v>
      </c>
      <c r="N850">
        <f>sales_data_1[[#This Row],[Unit_Price]]-sales_data_1[[#This Row],[Unit_Cost]]</f>
        <v>224.63000000000011</v>
      </c>
      <c r="O850">
        <f>sales_data_1[[#This Row],[Unit_Price]]*sales_data_1[[#This Row],[Quantity_Sold]]</f>
        <v>211299.3</v>
      </c>
      <c r="P850">
        <f>sales_data_1[[#This Row],[Unit - cost]]*sales_data_1[[#This Row],[Quantity_Sold]]</f>
        <v>10108.350000000006</v>
      </c>
    </row>
    <row r="851" spans="1:16" x14ac:dyDescent="0.3">
      <c r="A851">
        <v>1057</v>
      </c>
      <c r="B851" s="1">
        <v>45079</v>
      </c>
      <c r="C851" t="s">
        <v>37</v>
      </c>
      <c r="D851" t="s">
        <v>33</v>
      </c>
      <c r="E851">
        <v>22</v>
      </c>
      <c r="F851" t="s">
        <v>25</v>
      </c>
      <c r="G851">
        <v>3462.61</v>
      </c>
      <c r="H851">
        <v>3672.8900000000003</v>
      </c>
      <c r="I851" t="s">
        <v>16</v>
      </c>
      <c r="J851">
        <v>0.27</v>
      </c>
      <c r="K851" t="s">
        <v>30</v>
      </c>
      <c r="L851" t="s">
        <v>18</v>
      </c>
      <c r="M851" t="s">
        <v>47</v>
      </c>
      <c r="N851">
        <f>sales_data_1[[#This Row],[Unit_Price]]-sales_data_1[[#This Row],[Unit_Cost]]</f>
        <v>210.2800000000002</v>
      </c>
      <c r="O851">
        <f>sales_data_1[[#This Row],[Unit_Price]]*sales_data_1[[#This Row],[Quantity_Sold]]</f>
        <v>80803.58</v>
      </c>
      <c r="P851">
        <f>sales_data_1[[#This Row],[Unit - cost]]*sales_data_1[[#This Row],[Quantity_Sold]]</f>
        <v>4626.1600000000044</v>
      </c>
    </row>
    <row r="852" spans="1:16" x14ac:dyDescent="0.3">
      <c r="A852">
        <v>1017</v>
      </c>
      <c r="B852" s="1">
        <v>45148</v>
      </c>
      <c r="C852" t="s">
        <v>41</v>
      </c>
      <c r="D852" t="s">
        <v>14</v>
      </c>
      <c r="E852">
        <v>43</v>
      </c>
      <c r="F852" t="s">
        <v>15</v>
      </c>
      <c r="G852">
        <v>1454.8</v>
      </c>
      <c r="H852">
        <v>1674.97</v>
      </c>
      <c r="I852" t="s">
        <v>29</v>
      </c>
      <c r="J852">
        <v>0.03</v>
      </c>
      <c r="K852" t="s">
        <v>30</v>
      </c>
      <c r="L852" t="s">
        <v>18</v>
      </c>
      <c r="M852" t="s">
        <v>48</v>
      </c>
      <c r="N852">
        <f>sales_data_1[[#This Row],[Unit_Price]]-sales_data_1[[#This Row],[Unit_Cost]]</f>
        <v>220.17000000000007</v>
      </c>
      <c r="O852">
        <f>sales_data_1[[#This Row],[Unit_Price]]*sales_data_1[[#This Row],[Quantity_Sold]]</f>
        <v>72023.710000000006</v>
      </c>
      <c r="P852">
        <f>sales_data_1[[#This Row],[Unit - cost]]*sales_data_1[[#This Row],[Quantity_Sold]]</f>
        <v>9467.3100000000031</v>
      </c>
    </row>
    <row r="853" spans="1:16" x14ac:dyDescent="0.3">
      <c r="A853">
        <v>1047</v>
      </c>
      <c r="B853" s="1">
        <v>45132</v>
      </c>
      <c r="C853" t="s">
        <v>32</v>
      </c>
      <c r="D853" t="s">
        <v>33</v>
      </c>
      <c r="E853">
        <v>19</v>
      </c>
      <c r="F853" t="s">
        <v>15</v>
      </c>
      <c r="G853">
        <v>3484.62</v>
      </c>
      <c r="H853">
        <v>3781.5499999999997</v>
      </c>
      <c r="I853" t="s">
        <v>16</v>
      </c>
      <c r="J853">
        <v>0.21</v>
      </c>
      <c r="K853" t="s">
        <v>30</v>
      </c>
      <c r="L853" t="s">
        <v>21</v>
      </c>
      <c r="M853" t="s">
        <v>35</v>
      </c>
      <c r="N853">
        <f>sales_data_1[[#This Row],[Unit_Price]]-sales_data_1[[#This Row],[Unit_Cost]]</f>
        <v>296.92999999999984</v>
      </c>
      <c r="O853">
        <f>sales_data_1[[#This Row],[Unit_Price]]*sales_data_1[[#This Row],[Quantity_Sold]]</f>
        <v>71849.45</v>
      </c>
      <c r="P853">
        <f>sales_data_1[[#This Row],[Unit - cost]]*sales_data_1[[#This Row],[Quantity_Sold]]</f>
        <v>5641.6699999999964</v>
      </c>
    </row>
    <row r="854" spans="1:16" x14ac:dyDescent="0.3">
      <c r="A854">
        <v>1023</v>
      </c>
      <c r="B854" s="1">
        <v>45199</v>
      </c>
      <c r="C854" t="s">
        <v>32</v>
      </c>
      <c r="D854" t="s">
        <v>14</v>
      </c>
      <c r="E854">
        <v>8</v>
      </c>
      <c r="F854" t="s">
        <v>15</v>
      </c>
      <c r="G854">
        <v>1563.78</v>
      </c>
      <c r="H854">
        <v>1829.1599999999999</v>
      </c>
      <c r="I854" t="s">
        <v>16</v>
      </c>
      <c r="J854">
        <v>0.15</v>
      </c>
      <c r="K854" t="s">
        <v>17</v>
      </c>
      <c r="L854" t="s">
        <v>18</v>
      </c>
      <c r="M854" t="s">
        <v>52</v>
      </c>
      <c r="N854">
        <f>sales_data_1[[#This Row],[Unit_Price]]-sales_data_1[[#This Row],[Unit_Cost]]</f>
        <v>265.37999999999988</v>
      </c>
      <c r="O854">
        <f>sales_data_1[[#This Row],[Unit_Price]]*sales_data_1[[#This Row],[Quantity_Sold]]</f>
        <v>14633.279999999999</v>
      </c>
      <c r="P854">
        <f>sales_data_1[[#This Row],[Unit - cost]]*sales_data_1[[#This Row],[Quantity_Sold]]</f>
        <v>2123.0399999999991</v>
      </c>
    </row>
    <row r="855" spans="1:16" x14ac:dyDescent="0.3">
      <c r="A855">
        <v>1079</v>
      </c>
      <c r="B855" s="1">
        <v>45162</v>
      </c>
      <c r="C855" t="s">
        <v>41</v>
      </c>
      <c r="D855" t="s">
        <v>14</v>
      </c>
      <c r="E855">
        <v>8</v>
      </c>
      <c r="F855" t="s">
        <v>28</v>
      </c>
      <c r="G855">
        <v>3808.23</v>
      </c>
      <c r="H855">
        <v>3891.62</v>
      </c>
      <c r="I855" t="s">
        <v>16</v>
      </c>
      <c r="J855">
        <v>0.26</v>
      </c>
      <c r="K855" t="s">
        <v>26</v>
      </c>
      <c r="L855" t="s">
        <v>18</v>
      </c>
      <c r="M855" t="s">
        <v>48</v>
      </c>
      <c r="N855">
        <f>sales_data_1[[#This Row],[Unit_Price]]-sales_data_1[[#This Row],[Unit_Cost]]</f>
        <v>83.389999999999873</v>
      </c>
      <c r="O855">
        <f>sales_data_1[[#This Row],[Unit_Price]]*sales_data_1[[#This Row],[Quantity_Sold]]</f>
        <v>31132.959999999999</v>
      </c>
      <c r="P855">
        <f>sales_data_1[[#This Row],[Unit - cost]]*sales_data_1[[#This Row],[Quantity_Sold]]</f>
        <v>667.11999999999898</v>
      </c>
    </row>
    <row r="856" spans="1:16" x14ac:dyDescent="0.3">
      <c r="A856">
        <v>1085</v>
      </c>
      <c r="B856" s="1">
        <v>45266</v>
      </c>
      <c r="C856" t="s">
        <v>37</v>
      </c>
      <c r="D856" t="s">
        <v>14</v>
      </c>
      <c r="E856">
        <v>42</v>
      </c>
      <c r="F856" t="s">
        <v>34</v>
      </c>
      <c r="G856">
        <v>3117.75</v>
      </c>
      <c r="H856">
        <v>3159.88</v>
      </c>
      <c r="I856" t="s">
        <v>29</v>
      </c>
      <c r="J856">
        <v>0.04</v>
      </c>
      <c r="K856" t="s">
        <v>17</v>
      </c>
      <c r="L856" t="s">
        <v>21</v>
      </c>
      <c r="M856" t="s">
        <v>39</v>
      </c>
      <c r="N856">
        <f>sales_data_1[[#This Row],[Unit_Price]]-sales_data_1[[#This Row],[Unit_Cost]]</f>
        <v>42.130000000000109</v>
      </c>
      <c r="O856">
        <f>sales_data_1[[#This Row],[Unit_Price]]*sales_data_1[[#This Row],[Quantity_Sold]]</f>
        <v>132714.96</v>
      </c>
      <c r="P856">
        <f>sales_data_1[[#This Row],[Unit - cost]]*sales_data_1[[#This Row],[Quantity_Sold]]</f>
        <v>1769.4600000000046</v>
      </c>
    </row>
    <row r="857" spans="1:16" x14ac:dyDescent="0.3">
      <c r="A857">
        <v>1014</v>
      </c>
      <c r="B857" s="1">
        <v>45154</v>
      </c>
      <c r="C857" t="s">
        <v>23</v>
      </c>
      <c r="D857" t="s">
        <v>24</v>
      </c>
      <c r="E857">
        <v>26</v>
      </c>
      <c r="F857" t="s">
        <v>15</v>
      </c>
      <c r="G857">
        <v>433.19</v>
      </c>
      <c r="H857">
        <v>800.6</v>
      </c>
      <c r="I857" t="s">
        <v>16</v>
      </c>
      <c r="J857">
        <v>0.2</v>
      </c>
      <c r="K857" t="s">
        <v>17</v>
      </c>
      <c r="L857" t="s">
        <v>18</v>
      </c>
      <c r="M857" t="s">
        <v>27</v>
      </c>
      <c r="N857">
        <f>sales_data_1[[#This Row],[Unit_Price]]-sales_data_1[[#This Row],[Unit_Cost]]</f>
        <v>367.41</v>
      </c>
      <c r="O857">
        <f>sales_data_1[[#This Row],[Unit_Price]]*sales_data_1[[#This Row],[Quantity_Sold]]</f>
        <v>20815.600000000002</v>
      </c>
      <c r="P857">
        <f>sales_data_1[[#This Row],[Unit - cost]]*sales_data_1[[#This Row],[Quantity_Sold]]</f>
        <v>9552.66</v>
      </c>
    </row>
    <row r="858" spans="1:16" x14ac:dyDescent="0.3">
      <c r="A858">
        <v>1066</v>
      </c>
      <c r="B858" s="1">
        <v>44935</v>
      </c>
      <c r="C858" t="s">
        <v>41</v>
      </c>
      <c r="D858" t="s">
        <v>14</v>
      </c>
      <c r="E858">
        <v>48</v>
      </c>
      <c r="F858" t="s">
        <v>28</v>
      </c>
      <c r="G858">
        <v>2588.54</v>
      </c>
      <c r="H858">
        <v>2872.8</v>
      </c>
      <c r="I858" t="s">
        <v>29</v>
      </c>
      <c r="J858">
        <v>0.17</v>
      </c>
      <c r="K858" t="s">
        <v>17</v>
      </c>
      <c r="L858" t="s">
        <v>18</v>
      </c>
      <c r="M858" t="s">
        <v>48</v>
      </c>
      <c r="N858">
        <f>sales_data_1[[#This Row],[Unit_Price]]-sales_data_1[[#This Row],[Unit_Cost]]</f>
        <v>284.26000000000022</v>
      </c>
      <c r="O858">
        <f>sales_data_1[[#This Row],[Unit_Price]]*sales_data_1[[#This Row],[Quantity_Sold]]</f>
        <v>137894.40000000002</v>
      </c>
      <c r="P858">
        <f>sales_data_1[[#This Row],[Unit - cost]]*sales_data_1[[#This Row],[Quantity_Sold]]</f>
        <v>13644.48000000001</v>
      </c>
    </row>
    <row r="859" spans="1:16" x14ac:dyDescent="0.3">
      <c r="A859">
        <v>1075</v>
      </c>
      <c r="B859" s="1">
        <v>45092</v>
      </c>
      <c r="C859" t="s">
        <v>37</v>
      </c>
      <c r="D859" t="s">
        <v>14</v>
      </c>
      <c r="E859">
        <v>26</v>
      </c>
      <c r="F859" t="s">
        <v>15</v>
      </c>
      <c r="G859">
        <v>1749.34</v>
      </c>
      <c r="H859">
        <v>1935.25</v>
      </c>
      <c r="I859" t="s">
        <v>29</v>
      </c>
      <c r="J859">
        <v>0.14000000000000001</v>
      </c>
      <c r="K859" t="s">
        <v>30</v>
      </c>
      <c r="L859" t="s">
        <v>18</v>
      </c>
      <c r="M859" t="s">
        <v>39</v>
      </c>
      <c r="N859">
        <f>sales_data_1[[#This Row],[Unit_Price]]-sales_data_1[[#This Row],[Unit_Cost]]</f>
        <v>185.91000000000008</v>
      </c>
      <c r="O859">
        <f>sales_data_1[[#This Row],[Unit_Price]]*sales_data_1[[#This Row],[Quantity_Sold]]</f>
        <v>50316.5</v>
      </c>
      <c r="P859">
        <f>sales_data_1[[#This Row],[Unit - cost]]*sales_data_1[[#This Row],[Quantity_Sold]]</f>
        <v>4833.6600000000017</v>
      </c>
    </row>
    <row r="860" spans="1:16" x14ac:dyDescent="0.3">
      <c r="A860">
        <v>1051</v>
      </c>
      <c r="B860" s="1">
        <v>45245</v>
      </c>
      <c r="C860" t="s">
        <v>41</v>
      </c>
      <c r="D860" t="s">
        <v>14</v>
      </c>
      <c r="E860">
        <v>23</v>
      </c>
      <c r="F860" t="s">
        <v>34</v>
      </c>
      <c r="G860">
        <v>1676.42</v>
      </c>
      <c r="H860">
        <v>2082.52</v>
      </c>
      <c r="I860" t="s">
        <v>29</v>
      </c>
      <c r="J860">
        <v>0.15</v>
      </c>
      <c r="K860" t="s">
        <v>26</v>
      </c>
      <c r="L860" t="s">
        <v>21</v>
      </c>
      <c r="M860" t="s">
        <v>48</v>
      </c>
      <c r="N860">
        <f>sales_data_1[[#This Row],[Unit_Price]]-sales_data_1[[#This Row],[Unit_Cost]]</f>
        <v>406.09999999999991</v>
      </c>
      <c r="O860">
        <f>sales_data_1[[#This Row],[Unit_Price]]*sales_data_1[[#This Row],[Quantity_Sold]]</f>
        <v>47897.96</v>
      </c>
      <c r="P860">
        <f>sales_data_1[[#This Row],[Unit - cost]]*sales_data_1[[#This Row],[Quantity_Sold]]</f>
        <v>9340.2999999999975</v>
      </c>
    </row>
    <row r="861" spans="1:16" x14ac:dyDescent="0.3">
      <c r="A861">
        <v>1038</v>
      </c>
      <c r="B861" s="1">
        <v>45140</v>
      </c>
      <c r="C861" t="s">
        <v>41</v>
      </c>
      <c r="D861" t="s">
        <v>33</v>
      </c>
      <c r="E861">
        <v>43</v>
      </c>
      <c r="F861" t="s">
        <v>15</v>
      </c>
      <c r="G861">
        <v>3031.17</v>
      </c>
      <c r="H861">
        <v>3231.32</v>
      </c>
      <c r="I861" t="s">
        <v>16</v>
      </c>
      <c r="J861">
        <v>0.22</v>
      </c>
      <c r="K861" t="s">
        <v>17</v>
      </c>
      <c r="L861" t="s">
        <v>21</v>
      </c>
      <c r="M861" t="s">
        <v>51</v>
      </c>
      <c r="N861">
        <f>sales_data_1[[#This Row],[Unit_Price]]-sales_data_1[[#This Row],[Unit_Cost]]</f>
        <v>200.15000000000009</v>
      </c>
      <c r="O861">
        <f>sales_data_1[[#This Row],[Unit_Price]]*sales_data_1[[#This Row],[Quantity_Sold]]</f>
        <v>138946.76</v>
      </c>
      <c r="P861">
        <f>sales_data_1[[#This Row],[Unit - cost]]*sales_data_1[[#This Row],[Quantity_Sold]]</f>
        <v>8606.4500000000044</v>
      </c>
    </row>
    <row r="862" spans="1:16" x14ac:dyDescent="0.3">
      <c r="A862">
        <v>1064</v>
      </c>
      <c r="B862" s="1">
        <v>45043</v>
      </c>
      <c r="C862" t="s">
        <v>13</v>
      </c>
      <c r="D862" t="s">
        <v>14</v>
      </c>
      <c r="E862">
        <v>13</v>
      </c>
      <c r="F862" t="s">
        <v>28</v>
      </c>
      <c r="G862">
        <v>1645.51</v>
      </c>
      <c r="H862">
        <v>2045.53</v>
      </c>
      <c r="I862" t="s">
        <v>16</v>
      </c>
      <c r="J862">
        <v>0.28000000000000003</v>
      </c>
      <c r="K862" t="s">
        <v>17</v>
      </c>
      <c r="L862" t="s">
        <v>21</v>
      </c>
      <c r="M862" t="s">
        <v>19</v>
      </c>
      <c r="N862">
        <f>sales_data_1[[#This Row],[Unit_Price]]-sales_data_1[[#This Row],[Unit_Cost]]</f>
        <v>400.02</v>
      </c>
      <c r="O862">
        <f>sales_data_1[[#This Row],[Unit_Price]]*sales_data_1[[#This Row],[Quantity_Sold]]</f>
        <v>26591.89</v>
      </c>
      <c r="P862">
        <f>sales_data_1[[#This Row],[Unit - cost]]*sales_data_1[[#This Row],[Quantity_Sold]]</f>
        <v>5200.26</v>
      </c>
    </row>
    <row r="863" spans="1:16" x14ac:dyDescent="0.3">
      <c r="A863">
        <v>1098</v>
      </c>
      <c r="B863" s="1">
        <v>45270</v>
      </c>
      <c r="C863" t="s">
        <v>37</v>
      </c>
      <c r="D863" t="s">
        <v>33</v>
      </c>
      <c r="E863">
        <v>28</v>
      </c>
      <c r="F863" t="s">
        <v>34</v>
      </c>
      <c r="G863">
        <v>3895.62</v>
      </c>
      <c r="H863">
        <v>4055.44</v>
      </c>
      <c r="I863" t="s">
        <v>29</v>
      </c>
      <c r="J863">
        <v>0.03</v>
      </c>
      <c r="K863" t="s">
        <v>26</v>
      </c>
      <c r="L863" t="s">
        <v>21</v>
      </c>
      <c r="M863" t="s">
        <v>47</v>
      </c>
      <c r="N863">
        <f>sales_data_1[[#This Row],[Unit_Price]]-sales_data_1[[#This Row],[Unit_Cost]]</f>
        <v>159.82000000000016</v>
      </c>
      <c r="O863">
        <f>sales_data_1[[#This Row],[Unit_Price]]*sales_data_1[[#This Row],[Quantity_Sold]]</f>
        <v>113552.32000000001</v>
      </c>
      <c r="P863">
        <f>sales_data_1[[#This Row],[Unit - cost]]*sales_data_1[[#This Row],[Quantity_Sold]]</f>
        <v>4474.9600000000046</v>
      </c>
    </row>
    <row r="864" spans="1:16" x14ac:dyDescent="0.3">
      <c r="A864">
        <v>1038</v>
      </c>
      <c r="B864" s="1">
        <v>44998</v>
      </c>
      <c r="C864" t="s">
        <v>23</v>
      </c>
      <c r="D864" t="s">
        <v>14</v>
      </c>
      <c r="E864">
        <v>9</v>
      </c>
      <c r="F864" t="s">
        <v>28</v>
      </c>
      <c r="G864">
        <v>400.42</v>
      </c>
      <c r="H864">
        <v>446.11</v>
      </c>
      <c r="I864" t="s">
        <v>29</v>
      </c>
      <c r="J864">
        <v>0.01</v>
      </c>
      <c r="K864" t="s">
        <v>26</v>
      </c>
      <c r="L864" t="s">
        <v>21</v>
      </c>
      <c r="M864" t="s">
        <v>44</v>
      </c>
      <c r="N864">
        <f>sales_data_1[[#This Row],[Unit_Price]]-sales_data_1[[#This Row],[Unit_Cost]]</f>
        <v>45.69</v>
      </c>
      <c r="O864">
        <f>sales_data_1[[#This Row],[Unit_Price]]*sales_data_1[[#This Row],[Quantity_Sold]]</f>
        <v>4014.9900000000002</v>
      </c>
      <c r="P864">
        <f>sales_data_1[[#This Row],[Unit - cost]]*sales_data_1[[#This Row],[Quantity_Sold]]</f>
        <v>411.21</v>
      </c>
    </row>
    <row r="865" spans="1:16" x14ac:dyDescent="0.3">
      <c r="A865">
        <v>1050</v>
      </c>
      <c r="B865" s="1">
        <v>44990</v>
      </c>
      <c r="C865" t="s">
        <v>13</v>
      </c>
      <c r="D865" t="s">
        <v>14</v>
      </c>
      <c r="E865">
        <v>20</v>
      </c>
      <c r="F865" t="s">
        <v>34</v>
      </c>
      <c r="G865">
        <v>3318.92</v>
      </c>
      <c r="H865">
        <v>3785.91</v>
      </c>
      <c r="I865" t="s">
        <v>29</v>
      </c>
      <c r="J865">
        <v>0.24</v>
      </c>
      <c r="K865" t="s">
        <v>26</v>
      </c>
      <c r="L865" t="s">
        <v>18</v>
      </c>
      <c r="M865" t="s">
        <v>19</v>
      </c>
      <c r="N865">
        <f>sales_data_1[[#This Row],[Unit_Price]]-sales_data_1[[#This Row],[Unit_Cost]]</f>
        <v>466.98999999999978</v>
      </c>
      <c r="O865">
        <f>sales_data_1[[#This Row],[Unit_Price]]*sales_data_1[[#This Row],[Quantity_Sold]]</f>
        <v>75718.2</v>
      </c>
      <c r="P865">
        <f>sales_data_1[[#This Row],[Unit - cost]]*sales_data_1[[#This Row],[Quantity_Sold]]</f>
        <v>9339.7999999999956</v>
      </c>
    </row>
    <row r="866" spans="1:16" x14ac:dyDescent="0.3">
      <c r="A866">
        <v>1098</v>
      </c>
      <c r="B866" s="1">
        <v>45131</v>
      </c>
      <c r="C866" t="s">
        <v>41</v>
      </c>
      <c r="D866" t="s">
        <v>24</v>
      </c>
      <c r="E866">
        <v>19</v>
      </c>
      <c r="F866" t="s">
        <v>34</v>
      </c>
      <c r="G866">
        <v>4055.51</v>
      </c>
      <c r="H866">
        <v>4258.84</v>
      </c>
      <c r="I866" t="s">
        <v>16</v>
      </c>
      <c r="J866">
        <v>0.03</v>
      </c>
      <c r="K866" t="s">
        <v>30</v>
      </c>
      <c r="L866" t="s">
        <v>18</v>
      </c>
      <c r="M866" t="s">
        <v>42</v>
      </c>
      <c r="N866">
        <f>sales_data_1[[#This Row],[Unit_Price]]-sales_data_1[[#This Row],[Unit_Cost]]</f>
        <v>203.32999999999993</v>
      </c>
      <c r="O866">
        <f>sales_data_1[[#This Row],[Unit_Price]]*sales_data_1[[#This Row],[Quantity_Sold]]</f>
        <v>80917.960000000006</v>
      </c>
      <c r="P866">
        <f>sales_data_1[[#This Row],[Unit - cost]]*sales_data_1[[#This Row],[Quantity_Sold]]</f>
        <v>3863.2699999999986</v>
      </c>
    </row>
    <row r="867" spans="1:16" x14ac:dyDescent="0.3">
      <c r="A867">
        <v>1082</v>
      </c>
      <c r="B867" s="1">
        <v>45135</v>
      </c>
      <c r="C867" t="s">
        <v>41</v>
      </c>
      <c r="D867" t="s">
        <v>33</v>
      </c>
      <c r="E867">
        <v>48</v>
      </c>
      <c r="F867" t="s">
        <v>25</v>
      </c>
      <c r="G867">
        <v>3380.52</v>
      </c>
      <c r="H867">
        <v>3778.94</v>
      </c>
      <c r="I867" t="s">
        <v>16</v>
      </c>
      <c r="J867">
        <v>0.3</v>
      </c>
      <c r="K867" t="s">
        <v>26</v>
      </c>
      <c r="L867" t="s">
        <v>18</v>
      </c>
      <c r="M867" t="s">
        <v>51</v>
      </c>
      <c r="N867">
        <f>sales_data_1[[#This Row],[Unit_Price]]-sales_data_1[[#This Row],[Unit_Cost]]</f>
        <v>398.42000000000007</v>
      </c>
      <c r="O867">
        <f>sales_data_1[[#This Row],[Unit_Price]]*sales_data_1[[#This Row],[Quantity_Sold]]</f>
        <v>181389.12</v>
      </c>
      <c r="P867">
        <f>sales_data_1[[#This Row],[Unit - cost]]*sales_data_1[[#This Row],[Quantity_Sold]]</f>
        <v>19124.160000000003</v>
      </c>
    </row>
    <row r="868" spans="1:16" x14ac:dyDescent="0.3">
      <c r="A868">
        <v>1030</v>
      </c>
      <c r="B868" s="1">
        <v>44998</v>
      </c>
      <c r="C868" t="s">
        <v>41</v>
      </c>
      <c r="D868" t="s">
        <v>14</v>
      </c>
      <c r="E868">
        <v>39</v>
      </c>
      <c r="F868" t="s">
        <v>25</v>
      </c>
      <c r="G868">
        <v>2511.2800000000002</v>
      </c>
      <c r="H868">
        <v>2658.0600000000004</v>
      </c>
      <c r="I868" t="s">
        <v>29</v>
      </c>
      <c r="J868">
        <v>0.19</v>
      </c>
      <c r="K868" t="s">
        <v>30</v>
      </c>
      <c r="L868" t="s">
        <v>21</v>
      </c>
      <c r="M868" t="s">
        <v>48</v>
      </c>
      <c r="N868">
        <f>sales_data_1[[#This Row],[Unit_Price]]-sales_data_1[[#This Row],[Unit_Cost]]</f>
        <v>146.7800000000002</v>
      </c>
      <c r="O868">
        <f>sales_data_1[[#This Row],[Unit_Price]]*sales_data_1[[#This Row],[Quantity_Sold]]</f>
        <v>103664.34000000001</v>
      </c>
      <c r="P868">
        <f>sales_data_1[[#This Row],[Unit - cost]]*sales_data_1[[#This Row],[Quantity_Sold]]</f>
        <v>5724.4200000000073</v>
      </c>
    </row>
    <row r="869" spans="1:16" x14ac:dyDescent="0.3">
      <c r="A869">
        <v>1079</v>
      </c>
      <c r="B869" s="1">
        <v>45203</v>
      </c>
      <c r="C869" t="s">
        <v>37</v>
      </c>
      <c r="D869" t="s">
        <v>33</v>
      </c>
      <c r="E869">
        <v>12</v>
      </c>
      <c r="F869" t="s">
        <v>25</v>
      </c>
      <c r="G869">
        <v>4754.0200000000004</v>
      </c>
      <c r="H869">
        <v>5080.7400000000007</v>
      </c>
      <c r="I869" t="s">
        <v>29</v>
      </c>
      <c r="J869">
        <v>0.2</v>
      </c>
      <c r="K869" t="s">
        <v>17</v>
      </c>
      <c r="L869" t="s">
        <v>18</v>
      </c>
      <c r="M869" t="s">
        <v>47</v>
      </c>
      <c r="N869">
        <f>sales_data_1[[#This Row],[Unit_Price]]-sales_data_1[[#This Row],[Unit_Cost]]</f>
        <v>326.72000000000025</v>
      </c>
      <c r="O869">
        <f>sales_data_1[[#This Row],[Unit_Price]]*sales_data_1[[#This Row],[Quantity_Sold]]</f>
        <v>60968.880000000005</v>
      </c>
      <c r="P869">
        <f>sales_data_1[[#This Row],[Unit - cost]]*sales_data_1[[#This Row],[Quantity_Sold]]</f>
        <v>3920.6400000000031</v>
      </c>
    </row>
    <row r="870" spans="1:16" x14ac:dyDescent="0.3">
      <c r="A870">
        <v>1091</v>
      </c>
      <c r="B870" s="1">
        <v>45200</v>
      </c>
      <c r="C870" t="s">
        <v>37</v>
      </c>
      <c r="D870" t="s">
        <v>33</v>
      </c>
      <c r="E870">
        <v>15</v>
      </c>
      <c r="F870" t="s">
        <v>34</v>
      </c>
      <c r="G870">
        <v>1534.7</v>
      </c>
      <c r="H870">
        <v>1972.6200000000001</v>
      </c>
      <c r="I870" t="s">
        <v>16</v>
      </c>
      <c r="J870">
        <v>0.06</v>
      </c>
      <c r="K870" t="s">
        <v>30</v>
      </c>
      <c r="L870" t="s">
        <v>21</v>
      </c>
      <c r="M870" t="s">
        <v>47</v>
      </c>
      <c r="N870">
        <f>sales_data_1[[#This Row],[Unit_Price]]-sales_data_1[[#This Row],[Unit_Cost]]</f>
        <v>437.92000000000007</v>
      </c>
      <c r="O870">
        <f>sales_data_1[[#This Row],[Unit_Price]]*sales_data_1[[#This Row],[Quantity_Sold]]</f>
        <v>29589.300000000003</v>
      </c>
      <c r="P870">
        <f>sales_data_1[[#This Row],[Unit - cost]]*sales_data_1[[#This Row],[Quantity_Sold]]</f>
        <v>6568.8000000000011</v>
      </c>
    </row>
    <row r="871" spans="1:16" x14ac:dyDescent="0.3">
      <c r="A871">
        <v>1051</v>
      </c>
      <c r="B871" s="1">
        <v>45246</v>
      </c>
      <c r="C871" t="s">
        <v>13</v>
      </c>
      <c r="D871" t="s">
        <v>20</v>
      </c>
      <c r="E871">
        <v>31</v>
      </c>
      <c r="F871" t="s">
        <v>15</v>
      </c>
      <c r="G871">
        <v>144.88</v>
      </c>
      <c r="H871">
        <v>175.29</v>
      </c>
      <c r="I871" t="s">
        <v>29</v>
      </c>
      <c r="J871">
        <v>7.0000000000000007E-2</v>
      </c>
      <c r="K871" t="s">
        <v>26</v>
      </c>
      <c r="L871" t="s">
        <v>18</v>
      </c>
      <c r="M871" t="s">
        <v>22</v>
      </c>
      <c r="N871">
        <f>sales_data_1[[#This Row],[Unit_Price]]-sales_data_1[[#This Row],[Unit_Cost]]</f>
        <v>30.409999999999997</v>
      </c>
      <c r="O871">
        <f>sales_data_1[[#This Row],[Unit_Price]]*sales_data_1[[#This Row],[Quantity_Sold]]</f>
        <v>5433.99</v>
      </c>
      <c r="P871">
        <f>sales_data_1[[#This Row],[Unit - cost]]*sales_data_1[[#This Row],[Quantity_Sold]]</f>
        <v>942.70999999999992</v>
      </c>
    </row>
    <row r="872" spans="1:16" x14ac:dyDescent="0.3">
      <c r="A872">
        <v>1063</v>
      </c>
      <c r="B872" s="1">
        <v>45264</v>
      </c>
      <c r="C872" t="s">
        <v>23</v>
      </c>
      <c r="D872" t="s">
        <v>24</v>
      </c>
      <c r="E872">
        <v>14</v>
      </c>
      <c r="F872" t="s">
        <v>28</v>
      </c>
      <c r="G872">
        <v>2188.35</v>
      </c>
      <c r="H872">
        <v>2605.3599999999997</v>
      </c>
      <c r="I872" t="s">
        <v>16</v>
      </c>
      <c r="J872">
        <v>0.2</v>
      </c>
      <c r="K872" t="s">
        <v>30</v>
      </c>
      <c r="L872" t="s">
        <v>21</v>
      </c>
      <c r="M872" t="s">
        <v>27</v>
      </c>
      <c r="N872">
        <f>sales_data_1[[#This Row],[Unit_Price]]-sales_data_1[[#This Row],[Unit_Cost]]</f>
        <v>417.00999999999976</v>
      </c>
      <c r="O872">
        <f>sales_data_1[[#This Row],[Unit_Price]]*sales_data_1[[#This Row],[Quantity_Sold]]</f>
        <v>36475.039999999994</v>
      </c>
      <c r="P872">
        <f>sales_data_1[[#This Row],[Unit - cost]]*sales_data_1[[#This Row],[Quantity_Sold]]</f>
        <v>5838.1399999999967</v>
      </c>
    </row>
    <row r="873" spans="1:16" x14ac:dyDescent="0.3">
      <c r="A873">
        <v>1052</v>
      </c>
      <c r="B873" s="1">
        <v>45021</v>
      </c>
      <c r="C873" t="s">
        <v>32</v>
      </c>
      <c r="D873" t="s">
        <v>24</v>
      </c>
      <c r="E873">
        <v>26</v>
      </c>
      <c r="F873" t="s">
        <v>28</v>
      </c>
      <c r="G873">
        <v>4771.99</v>
      </c>
      <c r="H873">
        <v>5079.6499999999996</v>
      </c>
      <c r="I873" t="s">
        <v>29</v>
      </c>
      <c r="J873">
        <v>0.28999999999999998</v>
      </c>
      <c r="K873" t="s">
        <v>30</v>
      </c>
      <c r="L873" t="s">
        <v>18</v>
      </c>
      <c r="M873" t="s">
        <v>43</v>
      </c>
      <c r="N873">
        <f>sales_data_1[[#This Row],[Unit_Price]]-sales_data_1[[#This Row],[Unit_Cost]]</f>
        <v>307.65999999999985</v>
      </c>
      <c r="O873">
        <f>sales_data_1[[#This Row],[Unit_Price]]*sales_data_1[[#This Row],[Quantity_Sold]]</f>
        <v>132070.9</v>
      </c>
      <c r="P873">
        <f>sales_data_1[[#This Row],[Unit - cost]]*sales_data_1[[#This Row],[Quantity_Sold]]</f>
        <v>7999.1599999999962</v>
      </c>
    </row>
    <row r="874" spans="1:16" x14ac:dyDescent="0.3">
      <c r="A874">
        <v>1038</v>
      </c>
      <c r="B874" s="1">
        <v>45092</v>
      </c>
      <c r="C874" t="s">
        <v>41</v>
      </c>
      <c r="D874" t="s">
        <v>20</v>
      </c>
      <c r="E874">
        <v>42</v>
      </c>
      <c r="F874" t="s">
        <v>25</v>
      </c>
      <c r="G874">
        <v>1089.0899999999999</v>
      </c>
      <c r="H874">
        <v>1355.44</v>
      </c>
      <c r="I874" t="s">
        <v>29</v>
      </c>
      <c r="J874">
        <v>0.06</v>
      </c>
      <c r="K874" t="s">
        <v>17</v>
      </c>
      <c r="L874" t="s">
        <v>21</v>
      </c>
      <c r="M874" t="s">
        <v>50</v>
      </c>
      <c r="N874">
        <f>sales_data_1[[#This Row],[Unit_Price]]-sales_data_1[[#This Row],[Unit_Cost]]</f>
        <v>266.35000000000014</v>
      </c>
      <c r="O874">
        <f>sales_data_1[[#This Row],[Unit_Price]]*sales_data_1[[#This Row],[Quantity_Sold]]</f>
        <v>56928.480000000003</v>
      </c>
      <c r="P874">
        <f>sales_data_1[[#This Row],[Unit - cost]]*sales_data_1[[#This Row],[Quantity_Sold]]</f>
        <v>11186.700000000006</v>
      </c>
    </row>
    <row r="875" spans="1:16" x14ac:dyDescent="0.3">
      <c r="A875">
        <v>1097</v>
      </c>
      <c r="B875" s="1">
        <v>44958</v>
      </c>
      <c r="C875" t="s">
        <v>41</v>
      </c>
      <c r="D875" t="s">
        <v>20</v>
      </c>
      <c r="E875">
        <v>27</v>
      </c>
      <c r="F875" t="s">
        <v>34</v>
      </c>
      <c r="G875">
        <v>3955.19</v>
      </c>
      <c r="H875">
        <v>4393.68</v>
      </c>
      <c r="I875" t="s">
        <v>16</v>
      </c>
      <c r="J875">
        <v>0.04</v>
      </c>
      <c r="K875" t="s">
        <v>30</v>
      </c>
      <c r="L875" t="s">
        <v>18</v>
      </c>
      <c r="M875" t="s">
        <v>50</v>
      </c>
      <c r="N875">
        <f>sales_data_1[[#This Row],[Unit_Price]]-sales_data_1[[#This Row],[Unit_Cost]]</f>
        <v>438.49000000000024</v>
      </c>
      <c r="O875">
        <f>sales_data_1[[#This Row],[Unit_Price]]*sales_data_1[[#This Row],[Quantity_Sold]]</f>
        <v>118629.36000000002</v>
      </c>
      <c r="P875">
        <f>sales_data_1[[#This Row],[Unit - cost]]*sales_data_1[[#This Row],[Quantity_Sold]]</f>
        <v>11839.230000000007</v>
      </c>
    </row>
    <row r="876" spans="1:16" x14ac:dyDescent="0.3">
      <c r="A876">
        <v>1088</v>
      </c>
      <c r="B876" s="1">
        <v>44937</v>
      </c>
      <c r="C876" t="s">
        <v>41</v>
      </c>
      <c r="D876" t="s">
        <v>24</v>
      </c>
      <c r="E876">
        <v>11</v>
      </c>
      <c r="F876" t="s">
        <v>25</v>
      </c>
      <c r="G876">
        <v>3884.13</v>
      </c>
      <c r="H876">
        <v>3915.4100000000003</v>
      </c>
      <c r="I876" t="s">
        <v>16</v>
      </c>
      <c r="J876">
        <v>0.02</v>
      </c>
      <c r="K876" t="s">
        <v>17</v>
      </c>
      <c r="L876" t="s">
        <v>18</v>
      </c>
      <c r="M876" t="s">
        <v>42</v>
      </c>
      <c r="N876">
        <f>sales_data_1[[#This Row],[Unit_Price]]-sales_data_1[[#This Row],[Unit_Cost]]</f>
        <v>31.2800000000002</v>
      </c>
      <c r="O876">
        <f>sales_data_1[[#This Row],[Unit_Price]]*sales_data_1[[#This Row],[Quantity_Sold]]</f>
        <v>43069.51</v>
      </c>
      <c r="P876">
        <f>sales_data_1[[#This Row],[Unit - cost]]*sales_data_1[[#This Row],[Quantity_Sold]]</f>
        <v>344.0800000000022</v>
      </c>
    </row>
    <row r="877" spans="1:16" x14ac:dyDescent="0.3">
      <c r="A877">
        <v>1079</v>
      </c>
      <c r="B877" s="1">
        <v>45227</v>
      </c>
      <c r="C877" t="s">
        <v>13</v>
      </c>
      <c r="D877" t="s">
        <v>20</v>
      </c>
      <c r="E877">
        <v>38</v>
      </c>
      <c r="F877" t="s">
        <v>15</v>
      </c>
      <c r="G877">
        <v>1127.76</v>
      </c>
      <c r="H877">
        <v>1265.6600000000001</v>
      </c>
      <c r="I877" t="s">
        <v>16</v>
      </c>
      <c r="J877">
        <v>0.26</v>
      </c>
      <c r="K877" t="s">
        <v>26</v>
      </c>
      <c r="L877" t="s">
        <v>21</v>
      </c>
      <c r="M877" t="s">
        <v>22</v>
      </c>
      <c r="N877">
        <f>sales_data_1[[#This Row],[Unit_Price]]-sales_data_1[[#This Row],[Unit_Cost]]</f>
        <v>137.90000000000009</v>
      </c>
      <c r="O877">
        <f>sales_data_1[[#This Row],[Unit_Price]]*sales_data_1[[#This Row],[Quantity_Sold]]</f>
        <v>48095.08</v>
      </c>
      <c r="P877">
        <f>sales_data_1[[#This Row],[Unit - cost]]*sales_data_1[[#This Row],[Quantity_Sold]]</f>
        <v>5240.2000000000035</v>
      </c>
    </row>
    <row r="878" spans="1:16" x14ac:dyDescent="0.3">
      <c r="A878">
        <v>1030</v>
      </c>
      <c r="B878" s="1">
        <v>45143</v>
      </c>
      <c r="C878" t="s">
        <v>13</v>
      </c>
      <c r="D878" t="s">
        <v>20</v>
      </c>
      <c r="E878">
        <v>34</v>
      </c>
      <c r="F878" t="s">
        <v>34</v>
      </c>
      <c r="G878">
        <v>3125.07</v>
      </c>
      <c r="H878">
        <v>3564.19</v>
      </c>
      <c r="I878" t="s">
        <v>16</v>
      </c>
      <c r="J878">
        <v>0.09</v>
      </c>
      <c r="K878" t="s">
        <v>17</v>
      </c>
      <c r="L878" t="s">
        <v>18</v>
      </c>
      <c r="M878" t="s">
        <v>22</v>
      </c>
      <c r="N878">
        <f>sales_data_1[[#This Row],[Unit_Price]]-sales_data_1[[#This Row],[Unit_Cost]]</f>
        <v>439.11999999999989</v>
      </c>
      <c r="O878">
        <f>sales_data_1[[#This Row],[Unit_Price]]*sales_data_1[[#This Row],[Quantity_Sold]]</f>
        <v>121182.46</v>
      </c>
      <c r="P878">
        <f>sales_data_1[[#This Row],[Unit - cost]]*sales_data_1[[#This Row],[Quantity_Sold]]</f>
        <v>14930.079999999996</v>
      </c>
    </row>
    <row r="879" spans="1:16" x14ac:dyDescent="0.3">
      <c r="A879">
        <v>1051</v>
      </c>
      <c r="B879" s="1">
        <v>45215</v>
      </c>
      <c r="C879" t="s">
        <v>41</v>
      </c>
      <c r="D879" t="s">
        <v>20</v>
      </c>
      <c r="E879">
        <v>43</v>
      </c>
      <c r="F879" t="s">
        <v>28</v>
      </c>
      <c r="G879">
        <v>287.99</v>
      </c>
      <c r="H879">
        <v>666.64</v>
      </c>
      <c r="I879" t="s">
        <v>16</v>
      </c>
      <c r="J879">
        <v>0</v>
      </c>
      <c r="K879" t="s">
        <v>26</v>
      </c>
      <c r="L879" t="s">
        <v>18</v>
      </c>
      <c r="M879" t="s">
        <v>50</v>
      </c>
      <c r="N879">
        <f>sales_data_1[[#This Row],[Unit_Price]]-sales_data_1[[#This Row],[Unit_Cost]]</f>
        <v>378.65</v>
      </c>
      <c r="O879">
        <f>sales_data_1[[#This Row],[Unit_Price]]*sales_data_1[[#This Row],[Quantity_Sold]]</f>
        <v>28665.52</v>
      </c>
      <c r="P879">
        <f>sales_data_1[[#This Row],[Unit - cost]]*sales_data_1[[#This Row],[Quantity_Sold]]</f>
        <v>16281.949999999999</v>
      </c>
    </row>
    <row r="880" spans="1:16" x14ac:dyDescent="0.3">
      <c r="A880">
        <v>1081</v>
      </c>
      <c r="B880" s="1">
        <v>45028</v>
      </c>
      <c r="C880" t="s">
        <v>13</v>
      </c>
      <c r="D880" t="s">
        <v>24</v>
      </c>
      <c r="E880">
        <v>19</v>
      </c>
      <c r="F880" t="s">
        <v>25</v>
      </c>
      <c r="G880">
        <v>2443.69</v>
      </c>
      <c r="H880">
        <v>2462.34</v>
      </c>
      <c r="I880" t="s">
        <v>29</v>
      </c>
      <c r="J880">
        <v>7.0000000000000007E-2</v>
      </c>
      <c r="K880" t="s">
        <v>26</v>
      </c>
      <c r="L880" t="s">
        <v>21</v>
      </c>
      <c r="M880" t="s">
        <v>31</v>
      </c>
      <c r="N880">
        <f>sales_data_1[[#This Row],[Unit_Price]]-sales_data_1[[#This Row],[Unit_Cost]]</f>
        <v>18.650000000000091</v>
      </c>
      <c r="O880">
        <f>sales_data_1[[#This Row],[Unit_Price]]*sales_data_1[[#This Row],[Quantity_Sold]]</f>
        <v>46784.460000000006</v>
      </c>
      <c r="P880">
        <f>sales_data_1[[#This Row],[Unit - cost]]*sales_data_1[[#This Row],[Quantity_Sold]]</f>
        <v>354.35000000000173</v>
      </c>
    </row>
    <row r="881" spans="1:16" x14ac:dyDescent="0.3">
      <c r="A881">
        <v>1005</v>
      </c>
      <c r="B881" s="1">
        <v>45193</v>
      </c>
      <c r="C881" t="s">
        <v>37</v>
      </c>
      <c r="D881" t="s">
        <v>24</v>
      </c>
      <c r="E881">
        <v>6</v>
      </c>
      <c r="F881" t="s">
        <v>25</v>
      </c>
      <c r="G881">
        <v>122.5</v>
      </c>
      <c r="H881">
        <v>385.83</v>
      </c>
      <c r="I881" t="s">
        <v>16</v>
      </c>
      <c r="J881">
        <v>0.1</v>
      </c>
      <c r="K881" t="s">
        <v>17</v>
      </c>
      <c r="L881" t="s">
        <v>21</v>
      </c>
      <c r="M881" t="s">
        <v>38</v>
      </c>
      <c r="N881">
        <f>sales_data_1[[#This Row],[Unit_Price]]-sales_data_1[[#This Row],[Unit_Cost]]</f>
        <v>263.33</v>
      </c>
      <c r="O881">
        <f>sales_data_1[[#This Row],[Unit_Price]]*sales_data_1[[#This Row],[Quantity_Sold]]</f>
        <v>2314.98</v>
      </c>
      <c r="P881">
        <f>sales_data_1[[#This Row],[Unit - cost]]*sales_data_1[[#This Row],[Quantity_Sold]]</f>
        <v>1579.98</v>
      </c>
    </row>
    <row r="882" spans="1:16" x14ac:dyDescent="0.3">
      <c r="A882">
        <v>1029</v>
      </c>
      <c r="B882" s="1">
        <v>45140</v>
      </c>
      <c r="C882" t="s">
        <v>37</v>
      </c>
      <c r="D882" t="s">
        <v>24</v>
      </c>
      <c r="E882">
        <v>46</v>
      </c>
      <c r="F882" t="s">
        <v>15</v>
      </c>
      <c r="G882">
        <v>4609.66</v>
      </c>
      <c r="H882">
        <v>4879.1499999999996</v>
      </c>
      <c r="I882" t="s">
        <v>16</v>
      </c>
      <c r="J882">
        <v>0.3</v>
      </c>
      <c r="K882" t="s">
        <v>17</v>
      </c>
      <c r="L882" t="s">
        <v>21</v>
      </c>
      <c r="M882" t="s">
        <v>38</v>
      </c>
      <c r="N882">
        <f>sales_data_1[[#This Row],[Unit_Price]]-sales_data_1[[#This Row],[Unit_Cost]]</f>
        <v>269.48999999999978</v>
      </c>
      <c r="O882">
        <f>sales_data_1[[#This Row],[Unit_Price]]*sales_data_1[[#This Row],[Quantity_Sold]]</f>
        <v>224440.9</v>
      </c>
      <c r="P882">
        <f>sales_data_1[[#This Row],[Unit - cost]]*sales_data_1[[#This Row],[Quantity_Sold]]</f>
        <v>12396.53999999999</v>
      </c>
    </row>
    <row r="883" spans="1:16" x14ac:dyDescent="0.3">
      <c r="A883">
        <v>1004</v>
      </c>
      <c r="B883" s="1">
        <v>45105</v>
      </c>
      <c r="C883" t="s">
        <v>13</v>
      </c>
      <c r="D883" t="s">
        <v>20</v>
      </c>
      <c r="E883">
        <v>38</v>
      </c>
      <c r="F883" t="s">
        <v>15</v>
      </c>
      <c r="G883">
        <v>4881.63</v>
      </c>
      <c r="H883">
        <v>5088.0600000000004</v>
      </c>
      <c r="I883" t="s">
        <v>16</v>
      </c>
      <c r="J883">
        <v>0.16</v>
      </c>
      <c r="K883" t="s">
        <v>30</v>
      </c>
      <c r="L883" t="s">
        <v>21</v>
      </c>
      <c r="M883" t="s">
        <v>22</v>
      </c>
      <c r="N883">
        <f>sales_data_1[[#This Row],[Unit_Price]]-sales_data_1[[#This Row],[Unit_Cost]]</f>
        <v>206.43000000000029</v>
      </c>
      <c r="O883">
        <f>sales_data_1[[#This Row],[Unit_Price]]*sales_data_1[[#This Row],[Quantity_Sold]]</f>
        <v>193346.28000000003</v>
      </c>
      <c r="P883">
        <f>sales_data_1[[#This Row],[Unit - cost]]*sales_data_1[[#This Row],[Quantity_Sold]]</f>
        <v>7844.3400000000111</v>
      </c>
    </row>
    <row r="884" spans="1:16" x14ac:dyDescent="0.3">
      <c r="A884">
        <v>1010</v>
      </c>
      <c r="B884" s="1">
        <v>45014</v>
      </c>
      <c r="C884" t="s">
        <v>41</v>
      </c>
      <c r="D884" t="s">
        <v>24</v>
      </c>
      <c r="E884">
        <v>49</v>
      </c>
      <c r="F884" t="s">
        <v>25</v>
      </c>
      <c r="G884">
        <v>1150.3</v>
      </c>
      <c r="H884">
        <v>1306.02</v>
      </c>
      <c r="I884" t="s">
        <v>29</v>
      </c>
      <c r="J884">
        <v>0.06</v>
      </c>
      <c r="K884" t="s">
        <v>30</v>
      </c>
      <c r="L884" t="s">
        <v>21</v>
      </c>
      <c r="M884" t="s">
        <v>42</v>
      </c>
      <c r="N884">
        <f>sales_data_1[[#This Row],[Unit_Price]]-sales_data_1[[#This Row],[Unit_Cost]]</f>
        <v>155.72000000000003</v>
      </c>
      <c r="O884">
        <f>sales_data_1[[#This Row],[Unit_Price]]*sales_data_1[[#This Row],[Quantity_Sold]]</f>
        <v>63994.979999999996</v>
      </c>
      <c r="P884">
        <f>sales_data_1[[#This Row],[Unit - cost]]*sales_data_1[[#This Row],[Quantity_Sold]]</f>
        <v>7630.2800000000016</v>
      </c>
    </row>
    <row r="885" spans="1:16" x14ac:dyDescent="0.3">
      <c r="A885">
        <v>1056</v>
      </c>
      <c r="B885" s="1">
        <v>44967</v>
      </c>
      <c r="C885" t="s">
        <v>13</v>
      </c>
      <c r="D885" t="s">
        <v>20</v>
      </c>
      <c r="E885">
        <v>42</v>
      </c>
      <c r="F885" t="s">
        <v>15</v>
      </c>
      <c r="G885">
        <v>1080.1199999999999</v>
      </c>
      <c r="H885">
        <v>1424.1699999999998</v>
      </c>
      <c r="I885" t="s">
        <v>29</v>
      </c>
      <c r="J885">
        <v>0.1</v>
      </c>
      <c r="K885" t="s">
        <v>17</v>
      </c>
      <c r="L885" t="s">
        <v>18</v>
      </c>
      <c r="M885" t="s">
        <v>22</v>
      </c>
      <c r="N885">
        <f>sales_data_1[[#This Row],[Unit_Price]]-sales_data_1[[#This Row],[Unit_Cost]]</f>
        <v>344.04999999999995</v>
      </c>
      <c r="O885">
        <f>sales_data_1[[#This Row],[Unit_Price]]*sales_data_1[[#This Row],[Quantity_Sold]]</f>
        <v>59815.139999999992</v>
      </c>
      <c r="P885">
        <f>sales_data_1[[#This Row],[Unit - cost]]*sales_data_1[[#This Row],[Quantity_Sold]]</f>
        <v>14450.099999999999</v>
      </c>
    </row>
    <row r="886" spans="1:16" x14ac:dyDescent="0.3">
      <c r="A886">
        <v>1017</v>
      </c>
      <c r="B886" s="1">
        <v>45002</v>
      </c>
      <c r="C886" t="s">
        <v>13</v>
      </c>
      <c r="D886" t="s">
        <v>14</v>
      </c>
      <c r="E886">
        <v>28</v>
      </c>
      <c r="F886" t="s">
        <v>28</v>
      </c>
      <c r="G886">
        <v>3780.91</v>
      </c>
      <c r="H886">
        <v>3892.73</v>
      </c>
      <c r="I886" t="s">
        <v>16</v>
      </c>
      <c r="J886">
        <v>0.1</v>
      </c>
      <c r="K886" t="s">
        <v>17</v>
      </c>
      <c r="L886" t="s">
        <v>21</v>
      </c>
      <c r="M886" t="s">
        <v>19</v>
      </c>
      <c r="N886">
        <f>sales_data_1[[#This Row],[Unit_Price]]-sales_data_1[[#This Row],[Unit_Cost]]</f>
        <v>111.82000000000016</v>
      </c>
      <c r="O886">
        <f>sales_data_1[[#This Row],[Unit_Price]]*sales_data_1[[#This Row],[Quantity_Sold]]</f>
        <v>108996.44</v>
      </c>
      <c r="P886">
        <f>sales_data_1[[#This Row],[Unit - cost]]*sales_data_1[[#This Row],[Quantity_Sold]]</f>
        <v>3130.9600000000046</v>
      </c>
    </row>
    <row r="887" spans="1:16" x14ac:dyDescent="0.3">
      <c r="A887">
        <v>1074</v>
      </c>
      <c r="B887" s="1">
        <v>44972</v>
      </c>
      <c r="C887" t="s">
        <v>13</v>
      </c>
      <c r="D887" t="s">
        <v>20</v>
      </c>
      <c r="E887">
        <v>1</v>
      </c>
      <c r="F887" t="s">
        <v>15</v>
      </c>
      <c r="G887">
        <v>1304.23</v>
      </c>
      <c r="H887">
        <v>1705.71</v>
      </c>
      <c r="I887" t="s">
        <v>16</v>
      </c>
      <c r="J887">
        <v>0.01</v>
      </c>
      <c r="K887" t="s">
        <v>17</v>
      </c>
      <c r="L887" t="s">
        <v>21</v>
      </c>
      <c r="M887" t="s">
        <v>22</v>
      </c>
      <c r="N887">
        <f>sales_data_1[[#This Row],[Unit_Price]]-sales_data_1[[#This Row],[Unit_Cost]]</f>
        <v>401.48</v>
      </c>
      <c r="O887">
        <f>sales_data_1[[#This Row],[Unit_Price]]*sales_data_1[[#This Row],[Quantity_Sold]]</f>
        <v>1705.71</v>
      </c>
      <c r="P887">
        <f>sales_data_1[[#This Row],[Unit - cost]]*sales_data_1[[#This Row],[Quantity_Sold]]</f>
        <v>401.48</v>
      </c>
    </row>
    <row r="888" spans="1:16" x14ac:dyDescent="0.3">
      <c r="A888">
        <v>1017</v>
      </c>
      <c r="B888" s="1">
        <v>45086</v>
      </c>
      <c r="C888" t="s">
        <v>32</v>
      </c>
      <c r="D888" t="s">
        <v>33</v>
      </c>
      <c r="E888">
        <v>35</v>
      </c>
      <c r="F888" t="s">
        <v>15</v>
      </c>
      <c r="G888">
        <v>4480.63</v>
      </c>
      <c r="H888">
        <v>4884.12</v>
      </c>
      <c r="I888" t="s">
        <v>29</v>
      </c>
      <c r="J888">
        <v>0.04</v>
      </c>
      <c r="K888" t="s">
        <v>17</v>
      </c>
      <c r="L888" t="s">
        <v>18</v>
      </c>
      <c r="M888" t="s">
        <v>35</v>
      </c>
      <c r="N888">
        <f>sales_data_1[[#This Row],[Unit_Price]]-sales_data_1[[#This Row],[Unit_Cost]]</f>
        <v>403.48999999999978</v>
      </c>
      <c r="O888">
        <f>sales_data_1[[#This Row],[Unit_Price]]*sales_data_1[[#This Row],[Quantity_Sold]]</f>
        <v>170944.19999999998</v>
      </c>
      <c r="P888">
        <f>sales_data_1[[#This Row],[Unit - cost]]*sales_data_1[[#This Row],[Quantity_Sold]]</f>
        <v>14122.149999999992</v>
      </c>
    </row>
    <row r="889" spans="1:16" x14ac:dyDescent="0.3">
      <c r="A889">
        <v>1084</v>
      </c>
      <c r="B889" s="1">
        <v>45006</v>
      </c>
      <c r="C889" t="s">
        <v>37</v>
      </c>
      <c r="D889" t="s">
        <v>24</v>
      </c>
      <c r="E889">
        <v>40</v>
      </c>
      <c r="F889" t="s">
        <v>25</v>
      </c>
      <c r="G889">
        <v>2890.95</v>
      </c>
      <c r="H889">
        <v>3104.43</v>
      </c>
      <c r="I889" t="s">
        <v>29</v>
      </c>
      <c r="J889">
        <v>0.21</v>
      </c>
      <c r="K889" t="s">
        <v>26</v>
      </c>
      <c r="L889" t="s">
        <v>18</v>
      </c>
      <c r="M889" t="s">
        <v>38</v>
      </c>
      <c r="N889">
        <f>sales_data_1[[#This Row],[Unit_Price]]-sales_data_1[[#This Row],[Unit_Cost]]</f>
        <v>213.48000000000002</v>
      </c>
      <c r="O889">
        <f>sales_data_1[[#This Row],[Unit_Price]]*sales_data_1[[#This Row],[Quantity_Sold]]</f>
        <v>124177.2</v>
      </c>
      <c r="P889">
        <f>sales_data_1[[#This Row],[Unit - cost]]*sales_data_1[[#This Row],[Quantity_Sold]]</f>
        <v>8539.2000000000007</v>
      </c>
    </row>
    <row r="890" spans="1:16" x14ac:dyDescent="0.3">
      <c r="A890">
        <v>1088</v>
      </c>
      <c r="B890" s="1">
        <v>45236</v>
      </c>
      <c r="C890" t="s">
        <v>23</v>
      </c>
      <c r="D890" t="s">
        <v>24</v>
      </c>
      <c r="E890">
        <v>8</v>
      </c>
      <c r="F890" t="s">
        <v>25</v>
      </c>
      <c r="G890">
        <v>1786.35</v>
      </c>
      <c r="H890">
        <v>1935.29</v>
      </c>
      <c r="I890" t="s">
        <v>29</v>
      </c>
      <c r="J890">
        <v>0.04</v>
      </c>
      <c r="K890" t="s">
        <v>17</v>
      </c>
      <c r="L890" t="s">
        <v>18</v>
      </c>
      <c r="M890" t="s">
        <v>27</v>
      </c>
      <c r="N890">
        <f>sales_data_1[[#This Row],[Unit_Price]]-sales_data_1[[#This Row],[Unit_Cost]]</f>
        <v>148.94000000000005</v>
      </c>
      <c r="O890">
        <f>sales_data_1[[#This Row],[Unit_Price]]*sales_data_1[[#This Row],[Quantity_Sold]]</f>
        <v>15482.32</v>
      </c>
      <c r="P890">
        <f>sales_data_1[[#This Row],[Unit - cost]]*sales_data_1[[#This Row],[Quantity_Sold]]</f>
        <v>1191.5200000000004</v>
      </c>
    </row>
    <row r="891" spans="1:16" x14ac:dyDescent="0.3">
      <c r="A891">
        <v>1069</v>
      </c>
      <c r="B891" s="1">
        <v>45012</v>
      </c>
      <c r="C891" t="s">
        <v>23</v>
      </c>
      <c r="D891" t="s">
        <v>33</v>
      </c>
      <c r="E891">
        <v>47</v>
      </c>
      <c r="F891" t="s">
        <v>34</v>
      </c>
      <c r="G891">
        <v>4171.83</v>
      </c>
      <c r="H891">
        <v>4320.93</v>
      </c>
      <c r="I891" t="s">
        <v>29</v>
      </c>
      <c r="J891">
        <v>7.0000000000000007E-2</v>
      </c>
      <c r="K891" t="s">
        <v>17</v>
      </c>
      <c r="L891" t="s">
        <v>18</v>
      </c>
      <c r="M891" t="s">
        <v>49</v>
      </c>
      <c r="N891">
        <f>sales_data_1[[#This Row],[Unit_Price]]-sales_data_1[[#This Row],[Unit_Cost]]</f>
        <v>149.10000000000036</v>
      </c>
      <c r="O891">
        <f>sales_data_1[[#This Row],[Unit_Price]]*sales_data_1[[#This Row],[Quantity_Sold]]</f>
        <v>203083.71000000002</v>
      </c>
      <c r="P891">
        <f>sales_data_1[[#This Row],[Unit - cost]]*sales_data_1[[#This Row],[Quantity_Sold]]</f>
        <v>7007.7000000000171</v>
      </c>
    </row>
    <row r="892" spans="1:16" x14ac:dyDescent="0.3">
      <c r="A892">
        <v>1034</v>
      </c>
      <c r="B892" s="1">
        <v>45018</v>
      </c>
      <c r="C892" t="s">
        <v>32</v>
      </c>
      <c r="D892" t="s">
        <v>20</v>
      </c>
      <c r="E892">
        <v>7</v>
      </c>
      <c r="F892" t="s">
        <v>34</v>
      </c>
      <c r="G892">
        <v>2492.36</v>
      </c>
      <c r="H892">
        <v>2738.6800000000003</v>
      </c>
      <c r="I892" t="s">
        <v>16</v>
      </c>
      <c r="J892">
        <v>0.11</v>
      </c>
      <c r="K892" t="s">
        <v>17</v>
      </c>
      <c r="L892" t="s">
        <v>18</v>
      </c>
      <c r="M892" t="s">
        <v>36</v>
      </c>
      <c r="N892">
        <f>sales_data_1[[#This Row],[Unit_Price]]-sales_data_1[[#This Row],[Unit_Cost]]</f>
        <v>246.32000000000016</v>
      </c>
      <c r="O892">
        <f>sales_data_1[[#This Row],[Unit_Price]]*sales_data_1[[#This Row],[Quantity_Sold]]</f>
        <v>19170.760000000002</v>
      </c>
      <c r="P892">
        <f>sales_data_1[[#This Row],[Unit - cost]]*sales_data_1[[#This Row],[Quantity_Sold]]</f>
        <v>1724.2400000000011</v>
      </c>
    </row>
    <row r="893" spans="1:16" x14ac:dyDescent="0.3">
      <c r="A893">
        <v>1006</v>
      </c>
      <c r="B893" s="1">
        <v>45074</v>
      </c>
      <c r="C893" t="s">
        <v>13</v>
      </c>
      <c r="D893" t="s">
        <v>14</v>
      </c>
      <c r="E893">
        <v>11</v>
      </c>
      <c r="F893" t="s">
        <v>25</v>
      </c>
      <c r="G893">
        <v>4562.58</v>
      </c>
      <c r="H893">
        <v>4925.17</v>
      </c>
      <c r="I893" t="s">
        <v>29</v>
      </c>
      <c r="J893">
        <v>0.23</v>
      </c>
      <c r="K893" t="s">
        <v>17</v>
      </c>
      <c r="L893" t="s">
        <v>21</v>
      </c>
      <c r="M893" t="s">
        <v>19</v>
      </c>
      <c r="N893">
        <f>sales_data_1[[#This Row],[Unit_Price]]-sales_data_1[[#This Row],[Unit_Cost]]</f>
        <v>362.59000000000015</v>
      </c>
      <c r="O893">
        <f>sales_data_1[[#This Row],[Unit_Price]]*sales_data_1[[#This Row],[Quantity_Sold]]</f>
        <v>54176.87</v>
      </c>
      <c r="P893">
        <f>sales_data_1[[#This Row],[Unit - cost]]*sales_data_1[[#This Row],[Quantity_Sold]]</f>
        <v>3988.4900000000016</v>
      </c>
    </row>
    <row r="894" spans="1:16" x14ac:dyDescent="0.3">
      <c r="A894">
        <v>1053</v>
      </c>
      <c r="B894" s="1">
        <v>45087</v>
      </c>
      <c r="C894" t="s">
        <v>32</v>
      </c>
      <c r="D894" t="s">
        <v>33</v>
      </c>
      <c r="E894">
        <v>39</v>
      </c>
      <c r="F894" t="s">
        <v>15</v>
      </c>
      <c r="G894">
        <v>4643.67</v>
      </c>
      <c r="H894">
        <v>4829.5200000000004</v>
      </c>
      <c r="I894" t="s">
        <v>16</v>
      </c>
      <c r="J894">
        <v>0.17</v>
      </c>
      <c r="K894" t="s">
        <v>26</v>
      </c>
      <c r="L894" t="s">
        <v>18</v>
      </c>
      <c r="M894" t="s">
        <v>35</v>
      </c>
      <c r="N894">
        <f>sales_data_1[[#This Row],[Unit_Price]]-sales_data_1[[#This Row],[Unit_Cost]]</f>
        <v>185.85000000000036</v>
      </c>
      <c r="O894">
        <f>sales_data_1[[#This Row],[Unit_Price]]*sales_data_1[[#This Row],[Quantity_Sold]]</f>
        <v>188351.28000000003</v>
      </c>
      <c r="P894">
        <f>sales_data_1[[#This Row],[Unit - cost]]*sales_data_1[[#This Row],[Quantity_Sold]]</f>
        <v>7248.1500000000142</v>
      </c>
    </row>
    <row r="895" spans="1:16" x14ac:dyDescent="0.3">
      <c r="A895">
        <v>1066</v>
      </c>
      <c r="B895" s="1">
        <v>45128</v>
      </c>
      <c r="C895" t="s">
        <v>32</v>
      </c>
      <c r="D895" t="s">
        <v>33</v>
      </c>
      <c r="E895">
        <v>4</v>
      </c>
      <c r="F895" t="s">
        <v>15</v>
      </c>
      <c r="G895">
        <v>868.83</v>
      </c>
      <c r="H895">
        <v>1177.75</v>
      </c>
      <c r="I895" t="s">
        <v>16</v>
      </c>
      <c r="J895">
        <v>0.21</v>
      </c>
      <c r="K895" t="s">
        <v>30</v>
      </c>
      <c r="L895" t="s">
        <v>21</v>
      </c>
      <c r="M895" t="s">
        <v>35</v>
      </c>
      <c r="N895">
        <f>sales_data_1[[#This Row],[Unit_Price]]-sales_data_1[[#This Row],[Unit_Cost]]</f>
        <v>308.91999999999996</v>
      </c>
      <c r="O895">
        <f>sales_data_1[[#This Row],[Unit_Price]]*sales_data_1[[#This Row],[Quantity_Sold]]</f>
        <v>4711</v>
      </c>
      <c r="P895">
        <f>sales_data_1[[#This Row],[Unit - cost]]*sales_data_1[[#This Row],[Quantity_Sold]]</f>
        <v>1235.6799999999998</v>
      </c>
    </row>
    <row r="896" spans="1:16" x14ac:dyDescent="0.3">
      <c r="A896">
        <v>1077</v>
      </c>
      <c r="B896" s="1">
        <v>45168</v>
      </c>
      <c r="C896" t="s">
        <v>41</v>
      </c>
      <c r="D896" t="s">
        <v>20</v>
      </c>
      <c r="E896">
        <v>25</v>
      </c>
      <c r="F896" t="s">
        <v>34</v>
      </c>
      <c r="G896">
        <v>61.5</v>
      </c>
      <c r="H896">
        <v>258.91999999999996</v>
      </c>
      <c r="I896" t="s">
        <v>29</v>
      </c>
      <c r="J896">
        <v>0.17</v>
      </c>
      <c r="K896" t="s">
        <v>30</v>
      </c>
      <c r="L896" t="s">
        <v>18</v>
      </c>
      <c r="M896" t="s">
        <v>50</v>
      </c>
      <c r="N896">
        <f>sales_data_1[[#This Row],[Unit_Price]]-sales_data_1[[#This Row],[Unit_Cost]]</f>
        <v>197.41999999999996</v>
      </c>
      <c r="O896">
        <f>sales_data_1[[#This Row],[Unit_Price]]*sales_data_1[[#This Row],[Quantity_Sold]]</f>
        <v>6472.9999999999991</v>
      </c>
      <c r="P896">
        <f>sales_data_1[[#This Row],[Unit - cost]]*sales_data_1[[#This Row],[Quantity_Sold]]</f>
        <v>4935.4999999999991</v>
      </c>
    </row>
    <row r="897" spans="1:16" x14ac:dyDescent="0.3">
      <c r="A897">
        <v>1043</v>
      </c>
      <c r="B897" s="1">
        <v>45279</v>
      </c>
      <c r="C897" t="s">
        <v>37</v>
      </c>
      <c r="D897" t="s">
        <v>24</v>
      </c>
      <c r="E897">
        <v>12</v>
      </c>
      <c r="F897" t="s">
        <v>34</v>
      </c>
      <c r="G897">
        <v>4920.46</v>
      </c>
      <c r="H897">
        <v>5079.68</v>
      </c>
      <c r="I897" t="s">
        <v>29</v>
      </c>
      <c r="J897">
        <v>0.21</v>
      </c>
      <c r="K897" t="s">
        <v>30</v>
      </c>
      <c r="L897" t="s">
        <v>21</v>
      </c>
      <c r="M897" t="s">
        <v>38</v>
      </c>
      <c r="N897">
        <f>sales_data_1[[#This Row],[Unit_Price]]-sales_data_1[[#This Row],[Unit_Cost]]</f>
        <v>159.22000000000025</v>
      </c>
      <c r="O897">
        <f>sales_data_1[[#This Row],[Unit_Price]]*sales_data_1[[#This Row],[Quantity_Sold]]</f>
        <v>60956.160000000003</v>
      </c>
      <c r="P897">
        <f>sales_data_1[[#This Row],[Unit - cost]]*sales_data_1[[#This Row],[Quantity_Sold]]</f>
        <v>1910.6400000000031</v>
      </c>
    </row>
    <row r="898" spans="1:16" x14ac:dyDescent="0.3">
      <c r="A898">
        <v>1075</v>
      </c>
      <c r="B898" s="1">
        <v>44928</v>
      </c>
      <c r="C898" t="s">
        <v>23</v>
      </c>
      <c r="D898" t="s">
        <v>20</v>
      </c>
      <c r="E898">
        <v>26</v>
      </c>
      <c r="F898" t="s">
        <v>34</v>
      </c>
      <c r="G898">
        <v>4535.38</v>
      </c>
      <c r="H898">
        <v>4557.5600000000004</v>
      </c>
      <c r="I898" t="s">
        <v>29</v>
      </c>
      <c r="J898">
        <v>0</v>
      </c>
      <c r="K898" t="s">
        <v>30</v>
      </c>
      <c r="L898" t="s">
        <v>18</v>
      </c>
      <c r="M898" t="s">
        <v>46</v>
      </c>
      <c r="N898">
        <f>sales_data_1[[#This Row],[Unit_Price]]-sales_data_1[[#This Row],[Unit_Cost]]</f>
        <v>22.180000000000291</v>
      </c>
      <c r="O898">
        <f>sales_data_1[[#This Row],[Unit_Price]]*sales_data_1[[#This Row],[Quantity_Sold]]</f>
        <v>118496.56000000001</v>
      </c>
      <c r="P898">
        <f>sales_data_1[[#This Row],[Unit - cost]]*sales_data_1[[#This Row],[Quantity_Sold]]</f>
        <v>576.68000000000757</v>
      </c>
    </row>
    <row r="899" spans="1:16" x14ac:dyDescent="0.3">
      <c r="A899">
        <v>1023</v>
      </c>
      <c r="B899" s="1">
        <v>45151</v>
      </c>
      <c r="C899" t="s">
        <v>13</v>
      </c>
      <c r="D899" t="s">
        <v>33</v>
      </c>
      <c r="E899">
        <v>38</v>
      </c>
      <c r="F899" t="s">
        <v>28</v>
      </c>
      <c r="G899">
        <v>324.45</v>
      </c>
      <c r="H899">
        <v>336.37</v>
      </c>
      <c r="I899" t="s">
        <v>29</v>
      </c>
      <c r="J899">
        <v>0.28000000000000003</v>
      </c>
      <c r="K899" t="s">
        <v>30</v>
      </c>
      <c r="L899" t="s">
        <v>21</v>
      </c>
      <c r="M899" t="s">
        <v>45</v>
      </c>
      <c r="N899">
        <f>sales_data_1[[#This Row],[Unit_Price]]-sales_data_1[[#This Row],[Unit_Cost]]</f>
        <v>11.920000000000016</v>
      </c>
      <c r="O899">
        <f>sales_data_1[[#This Row],[Unit_Price]]*sales_data_1[[#This Row],[Quantity_Sold]]</f>
        <v>12782.06</v>
      </c>
      <c r="P899">
        <f>sales_data_1[[#This Row],[Unit - cost]]*sales_data_1[[#This Row],[Quantity_Sold]]</f>
        <v>452.9600000000006</v>
      </c>
    </row>
    <row r="900" spans="1:16" x14ac:dyDescent="0.3">
      <c r="A900">
        <v>1055</v>
      </c>
      <c r="B900" s="1">
        <v>45215</v>
      </c>
      <c r="C900" t="s">
        <v>23</v>
      </c>
      <c r="D900" t="s">
        <v>33</v>
      </c>
      <c r="E900">
        <v>46</v>
      </c>
      <c r="F900" t="s">
        <v>28</v>
      </c>
      <c r="G900">
        <v>4173.5200000000004</v>
      </c>
      <c r="H900">
        <v>4294.8500000000004</v>
      </c>
      <c r="I900" t="s">
        <v>16</v>
      </c>
      <c r="J900">
        <v>0.03</v>
      </c>
      <c r="K900" t="s">
        <v>26</v>
      </c>
      <c r="L900" t="s">
        <v>21</v>
      </c>
      <c r="M900" t="s">
        <v>49</v>
      </c>
      <c r="N900">
        <f>sales_data_1[[#This Row],[Unit_Price]]-sales_data_1[[#This Row],[Unit_Cost]]</f>
        <v>121.32999999999993</v>
      </c>
      <c r="O900">
        <f>sales_data_1[[#This Row],[Unit_Price]]*sales_data_1[[#This Row],[Quantity_Sold]]</f>
        <v>197563.1</v>
      </c>
      <c r="P900">
        <f>sales_data_1[[#This Row],[Unit - cost]]*sales_data_1[[#This Row],[Quantity_Sold]]</f>
        <v>5581.1799999999967</v>
      </c>
    </row>
    <row r="901" spans="1:16" x14ac:dyDescent="0.3">
      <c r="A901">
        <v>1080</v>
      </c>
      <c r="B901" s="1">
        <v>45159</v>
      </c>
      <c r="C901" t="s">
        <v>23</v>
      </c>
      <c r="D901" t="s">
        <v>24</v>
      </c>
      <c r="E901">
        <v>12</v>
      </c>
      <c r="F901" t="s">
        <v>34</v>
      </c>
      <c r="G901">
        <v>2316.13</v>
      </c>
      <c r="H901">
        <v>2525.27</v>
      </c>
      <c r="I901" t="s">
        <v>16</v>
      </c>
      <c r="J901">
        <v>0.12</v>
      </c>
      <c r="K901" t="s">
        <v>30</v>
      </c>
      <c r="L901" t="s">
        <v>21</v>
      </c>
      <c r="M901" t="s">
        <v>27</v>
      </c>
      <c r="N901">
        <f>sales_data_1[[#This Row],[Unit_Price]]-sales_data_1[[#This Row],[Unit_Cost]]</f>
        <v>209.13999999999987</v>
      </c>
      <c r="O901">
        <f>sales_data_1[[#This Row],[Unit_Price]]*sales_data_1[[#This Row],[Quantity_Sold]]</f>
        <v>30303.239999999998</v>
      </c>
      <c r="P901">
        <f>sales_data_1[[#This Row],[Unit - cost]]*sales_data_1[[#This Row],[Quantity_Sold]]</f>
        <v>2509.6799999999985</v>
      </c>
    </row>
    <row r="902" spans="1:16" x14ac:dyDescent="0.3">
      <c r="A902">
        <v>1095</v>
      </c>
      <c r="B902" s="1">
        <v>45003</v>
      </c>
      <c r="C902" t="s">
        <v>37</v>
      </c>
      <c r="D902" t="s">
        <v>24</v>
      </c>
      <c r="E902">
        <v>43</v>
      </c>
      <c r="F902" t="s">
        <v>15</v>
      </c>
      <c r="G902">
        <v>1331.86</v>
      </c>
      <c r="H902">
        <v>1758.98</v>
      </c>
      <c r="I902" t="s">
        <v>16</v>
      </c>
      <c r="J902">
        <v>0.23</v>
      </c>
      <c r="K902" t="s">
        <v>26</v>
      </c>
      <c r="L902" t="s">
        <v>21</v>
      </c>
      <c r="M902" t="s">
        <v>38</v>
      </c>
      <c r="N902">
        <f>sales_data_1[[#This Row],[Unit_Price]]-sales_data_1[[#This Row],[Unit_Cost]]</f>
        <v>427.12000000000012</v>
      </c>
      <c r="O902">
        <f>sales_data_1[[#This Row],[Unit_Price]]*sales_data_1[[#This Row],[Quantity_Sold]]</f>
        <v>75636.14</v>
      </c>
      <c r="P902">
        <f>sales_data_1[[#This Row],[Unit - cost]]*sales_data_1[[#This Row],[Quantity_Sold]]</f>
        <v>18366.160000000003</v>
      </c>
    </row>
    <row r="903" spans="1:16" x14ac:dyDescent="0.3">
      <c r="A903">
        <v>1075</v>
      </c>
      <c r="B903" s="1">
        <v>45042</v>
      </c>
      <c r="C903" t="s">
        <v>23</v>
      </c>
      <c r="D903" t="s">
        <v>24</v>
      </c>
      <c r="E903">
        <v>37</v>
      </c>
      <c r="F903" t="s">
        <v>34</v>
      </c>
      <c r="G903">
        <v>4399.8</v>
      </c>
      <c r="H903">
        <v>4801.0600000000004</v>
      </c>
      <c r="I903" t="s">
        <v>29</v>
      </c>
      <c r="J903">
        <v>0.13</v>
      </c>
      <c r="K903" t="s">
        <v>26</v>
      </c>
      <c r="L903" t="s">
        <v>21</v>
      </c>
      <c r="M903" t="s">
        <v>27</v>
      </c>
      <c r="N903">
        <f>sales_data_1[[#This Row],[Unit_Price]]-sales_data_1[[#This Row],[Unit_Cost]]</f>
        <v>401.26000000000022</v>
      </c>
      <c r="O903">
        <f>sales_data_1[[#This Row],[Unit_Price]]*sales_data_1[[#This Row],[Quantity_Sold]]</f>
        <v>177639.22</v>
      </c>
      <c r="P903">
        <f>sales_data_1[[#This Row],[Unit - cost]]*sales_data_1[[#This Row],[Quantity_Sold]]</f>
        <v>14846.620000000008</v>
      </c>
    </row>
    <row r="904" spans="1:16" x14ac:dyDescent="0.3">
      <c r="A904">
        <v>1016</v>
      </c>
      <c r="B904" s="1">
        <v>45080</v>
      </c>
      <c r="C904" t="s">
        <v>23</v>
      </c>
      <c r="D904" t="s">
        <v>20</v>
      </c>
      <c r="E904">
        <v>46</v>
      </c>
      <c r="F904" t="s">
        <v>28</v>
      </c>
      <c r="G904">
        <v>1023.5</v>
      </c>
      <c r="H904">
        <v>1164.4100000000001</v>
      </c>
      <c r="I904" t="s">
        <v>16</v>
      </c>
      <c r="J904">
        <v>0.28000000000000003</v>
      </c>
      <c r="K904" t="s">
        <v>30</v>
      </c>
      <c r="L904" t="s">
        <v>21</v>
      </c>
      <c r="M904" t="s">
        <v>46</v>
      </c>
      <c r="N904">
        <f>sales_data_1[[#This Row],[Unit_Price]]-sales_data_1[[#This Row],[Unit_Cost]]</f>
        <v>140.91000000000008</v>
      </c>
      <c r="O904">
        <f>sales_data_1[[#This Row],[Unit_Price]]*sales_data_1[[#This Row],[Quantity_Sold]]</f>
        <v>53562.86</v>
      </c>
      <c r="P904">
        <f>sales_data_1[[#This Row],[Unit - cost]]*sales_data_1[[#This Row],[Quantity_Sold]]</f>
        <v>6481.8600000000042</v>
      </c>
    </row>
    <row r="905" spans="1:16" x14ac:dyDescent="0.3">
      <c r="A905">
        <v>1008</v>
      </c>
      <c r="B905" s="1">
        <v>45029</v>
      </c>
      <c r="C905" t="s">
        <v>32</v>
      </c>
      <c r="D905" t="s">
        <v>24</v>
      </c>
      <c r="E905">
        <v>24</v>
      </c>
      <c r="F905" t="s">
        <v>15</v>
      </c>
      <c r="G905">
        <v>4739.13</v>
      </c>
      <c r="H905">
        <v>4868.95</v>
      </c>
      <c r="I905" t="s">
        <v>29</v>
      </c>
      <c r="J905">
        <v>0.14000000000000001</v>
      </c>
      <c r="K905" t="s">
        <v>30</v>
      </c>
      <c r="L905" t="s">
        <v>21</v>
      </c>
      <c r="M905" t="s">
        <v>43</v>
      </c>
      <c r="N905">
        <f>sales_data_1[[#This Row],[Unit_Price]]-sales_data_1[[#This Row],[Unit_Cost]]</f>
        <v>129.81999999999971</v>
      </c>
      <c r="O905">
        <f>sales_data_1[[#This Row],[Unit_Price]]*sales_data_1[[#This Row],[Quantity_Sold]]</f>
        <v>116854.79999999999</v>
      </c>
      <c r="P905">
        <f>sales_data_1[[#This Row],[Unit - cost]]*sales_data_1[[#This Row],[Quantity_Sold]]</f>
        <v>3115.679999999993</v>
      </c>
    </row>
    <row r="906" spans="1:16" x14ac:dyDescent="0.3">
      <c r="A906">
        <v>1004</v>
      </c>
      <c r="B906" s="1">
        <v>45120</v>
      </c>
      <c r="C906" t="s">
        <v>37</v>
      </c>
      <c r="D906" t="s">
        <v>33</v>
      </c>
      <c r="E906">
        <v>16</v>
      </c>
      <c r="F906" t="s">
        <v>28</v>
      </c>
      <c r="G906">
        <v>1067.83</v>
      </c>
      <c r="H906">
        <v>1189.22</v>
      </c>
      <c r="I906" t="s">
        <v>16</v>
      </c>
      <c r="J906">
        <v>0.26</v>
      </c>
      <c r="K906" t="s">
        <v>30</v>
      </c>
      <c r="L906" t="s">
        <v>21</v>
      </c>
      <c r="M906" t="s">
        <v>47</v>
      </c>
      <c r="N906">
        <f>sales_data_1[[#This Row],[Unit_Price]]-sales_data_1[[#This Row],[Unit_Cost]]</f>
        <v>121.3900000000001</v>
      </c>
      <c r="O906">
        <f>sales_data_1[[#This Row],[Unit_Price]]*sales_data_1[[#This Row],[Quantity_Sold]]</f>
        <v>19027.52</v>
      </c>
      <c r="P906">
        <f>sales_data_1[[#This Row],[Unit - cost]]*sales_data_1[[#This Row],[Quantity_Sold]]</f>
        <v>1942.2400000000016</v>
      </c>
    </row>
    <row r="907" spans="1:16" x14ac:dyDescent="0.3">
      <c r="A907">
        <v>1004</v>
      </c>
      <c r="B907" s="1">
        <v>45092</v>
      </c>
      <c r="C907" t="s">
        <v>41</v>
      </c>
      <c r="D907" t="s">
        <v>33</v>
      </c>
      <c r="E907">
        <v>13</v>
      </c>
      <c r="F907" t="s">
        <v>15</v>
      </c>
      <c r="G907">
        <v>3087.73</v>
      </c>
      <c r="H907">
        <v>3263.96</v>
      </c>
      <c r="I907" t="s">
        <v>29</v>
      </c>
      <c r="J907">
        <v>0.24</v>
      </c>
      <c r="K907" t="s">
        <v>17</v>
      </c>
      <c r="L907" t="s">
        <v>21</v>
      </c>
      <c r="M907" t="s">
        <v>51</v>
      </c>
      <c r="N907">
        <f>sales_data_1[[#This Row],[Unit_Price]]-sales_data_1[[#This Row],[Unit_Cost]]</f>
        <v>176.23000000000002</v>
      </c>
      <c r="O907">
        <f>sales_data_1[[#This Row],[Unit_Price]]*sales_data_1[[#This Row],[Quantity_Sold]]</f>
        <v>42431.48</v>
      </c>
      <c r="P907">
        <f>sales_data_1[[#This Row],[Unit - cost]]*sales_data_1[[#This Row],[Quantity_Sold]]</f>
        <v>2290.9900000000002</v>
      </c>
    </row>
    <row r="908" spans="1:16" x14ac:dyDescent="0.3">
      <c r="A908">
        <v>1056</v>
      </c>
      <c r="B908" s="1">
        <v>45285</v>
      </c>
      <c r="C908" t="s">
        <v>13</v>
      </c>
      <c r="D908" t="s">
        <v>14</v>
      </c>
      <c r="E908">
        <v>25</v>
      </c>
      <c r="F908" t="s">
        <v>28</v>
      </c>
      <c r="G908">
        <v>1154.28</v>
      </c>
      <c r="H908">
        <v>1408.4</v>
      </c>
      <c r="I908" t="s">
        <v>16</v>
      </c>
      <c r="J908">
        <v>0.28999999999999998</v>
      </c>
      <c r="K908" t="s">
        <v>26</v>
      </c>
      <c r="L908" t="s">
        <v>21</v>
      </c>
      <c r="M908" t="s">
        <v>19</v>
      </c>
      <c r="N908">
        <f>sales_data_1[[#This Row],[Unit_Price]]-sales_data_1[[#This Row],[Unit_Cost]]</f>
        <v>254.12000000000012</v>
      </c>
      <c r="O908">
        <f>sales_data_1[[#This Row],[Unit_Price]]*sales_data_1[[#This Row],[Quantity_Sold]]</f>
        <v>35210</v>
      </c>
      <c r="P908">
        <f>sales_data_1[[#This Row],[Unit - cost]]*sales_data_1[[#This Row],[Quantity_Sold]]</f>
        <v>6353.0000000000027</v>
      </c>
    </row>
    <row r="909" spans="1:16" x14ac:dyDescent="0.3">
      <c r="A909">
        <v>1025</v>
      </c>
      <c r="B909" s="1">
        <v>45016</v>
      </c>
      <c r="C909" t="s">
        <v>23</v>
      </c>
      <c r="D909" t="s">
        <v>20</v>
      </c>
      <c r="E909">
        <v>4</v>
      </c>
      <c r="F909" t="s">
        <v>15</v>
      </c>
      <c r="G909">
        <v>2751.06</v>
      </c>
      <c r="H909">
        <v>2976.0099999999998</v>
      </c>
      <c r="I909" t="s">
        <v>16</v>
      </c>
      <c r="J909">
        <v>0.28000000000000003</v>
      </c>
      <c r="K909" t="s">
        <v>30</v>
      </c>
      <c r="L909" t="s">
        <v>18</v>
      </c>
      <c r="M909" t="s">
        <v>46</v>
      </c>
      <c r="N909">
        <f>sales_data_1[[#This Row],[Unit_Price]]-sales_data_1[[#This Row],[Unit_Cost]]</f>
        <v>224.94999999999982</v>
      </c>
      <c r="O909">
        <f>sales_data_1[[#This Row],[Unit_Price]]*sales_data_1[[#This Row],[Quantity_Sold]]</f>
        <v>11904.039999999999</v>
      </c>
      <c r="P909">
        <f>sales_data_1[[#This Row],[Unit - cost]]*sales_data_1[[#This Row],[Quantity_Sold]]</f>
        <v>899.79999999999927</v>
      </c>
    </row>
    <row r="910" spans="1:16" x14ac:dyDescent="0.3">
      <c r="A910">
        <v>1067</v>
      </c>
      <c r="B910" s="1">
        <v>45100</v>
      </c>
      <c r="C910" t="s">
        <v>13</v>
      </c>
      <c r="D910" t="s">
        <v>14</v>
      </c>
      <c r="E910">
        <v>11</v>
      </c>
      <c r="F910" t="s">
        <v>15</v>
      </c>
      <c r="G910">
        <v>3435.68</v>
      </c>
      <c r="H910">
        <v>3552.6299999999997</v>
      </c>
      <c r="I910" t="s">
        <v>29</v>
      </c>
      <c r="J910">
        <v>0.27</v>
      </c>
      <c r="K910" t="s">
        <v>17</v>
      </c>
      <c r="L910" t="s">
        <v>21</v>
      </c>
      <c r="M910" t="s">
        <v>19</v>
      </c>
      <c r="N910">
        <f>sales_data_1[[#This Row],[Unit_Price]]-sales_data_1[[#This Row],[Unit_Cost]]</f>
        <v>116.94999999999982</v>
      </c>
      <c r="O910">
        <f>sales_data_1[[#This Row],[Unit_Price]]*sales_data_1[[#This Row],[Quantity_Sold]]</f>
        <v>39078.929999999993</v>
      </c>
      <c r="P910">
        <f>sales_data_1[[#This Row],[Unit - cost]]*sales_data_1[[#This Row],[Quantity_Sold]]</f>
        <v>1286.449999999998</v>
      </c>
    </row>
    <row r="911" spans="1:16" x14ac:dyDescent="0.3">
      <c r="A911">
        <v>1096</v>
      </c>
      <c r="B911" s="1">
        <v>45048</v>
      </c>
      <c r="C911" t="s">
        <v>41</v>
      </c>
      <c r="D911" t="s">
        <v>33</v>
      </c>
      <c r="E911">
        <v>32</v>
      </c>
      <c r="F911" t="s">
        <v>15</v>
      </c>
      <c r="G911">
        <v>991.63</v>
      </c>
      <c r="H911">
        <v>1065.55</v>
      </c>
      <c r="I911" t="s">
        <v>16</v>
      </c>
      <c r="J911">
        <v>0.22</v>
      </c>
      <c r="K911" t="s">
        <v>26</v>
      </c>
      <c r="L911" t="s">
        <v>21</v>
      </c>
      <c r="M911" t="s">
        <v>51</v>
      </c>
      <c r="N911">
        <f>sales_data_1[[#This Row],[Unit_Price]]-sales_data_1[[#This Row],[Unit_Cost]]</f>
        <v>73.919999999999959</v>
      </c>
      <c r="O911">
        <f>sales_data_1[[#This Row],[Unit_Price]]*sales_data_1[[#This Row],[Quantity_Sold]]</f>
        <v>34097.599999999999</v>
      </c>
      <c r="P911">
        <f>sales_data_1[[#This Row],[Unit - cost]]*sales_data_1[[#This Row],[Quantity_Sold]]</f>
        <v>2365.4399999999987</v>
      </c>
    </row>
    <row r="912" spans="1:16" x14ac:dyDescent="0.3">
      <c r="A912">
        <v>1067</v>
      </c>
      <c r="B912" s="1">
        <v>45069</v>
      </c>
      <c r="C912" t="s">
        <v>13</v>
      </c>
      <c r="D912" t="s">
        <v>14</v>
      </c>
      <c r="E912">
        <v>49</v>
      </c>
      <c r="F912" t="s">
        <v>15</v>
      </c>
      <c r="G912">
        <v>2628.38</v>
      </c>
      <c r="H912">
        <v>2644.54</v>
      </c>
      <c r="I912" t="s">
        <v>16</v>
      </c>
      <c r="J912">
        <v>0.11</v>
      </c>
      <c r="K912" t="s">
        <v>17</v>
      </c>
      <c r="L912" t="s">
        <v>18</v>
      </c>
      <c r="M912" t="s">
        <v>19</v>
      </c>
      <c r="N912">
        <f>sales_data_1[[#This Row],[Unit_Price]]-sales_data_1[[#This Row],[Unit_Cost]]</f>
        <v>16.159999999999854</v>
      </c>
      <c r="O912">
        <f>sales_data_1[[#This Row],[Unit_Price]]*sales_data_1[[#This Row],[Quantity_Sold]]</f>
        <v>129582.45999999999</v>
      </c>
      <c r="P912">
        <f>sales_data_1[[#This Row],[Unit - cost]]*sales_data_1[[#This Row],[Quantity_Sold]]</f>
        <v>791.83999999999287</v>
      </c>
    </row>
    <row r="913" spans="1:16" x14ac:dyDescent="0.3">
      <c r="A913">
        <v>1027</v>
      </c>
      <c r="B913" s="1">
        <v>45032</v>
      </c>
      <c r="C913" t="s">
        <v>41</v>
      </c>
      <c r="D913" t="s">
        <v>33</v>
      </c>
      <c r="E913">
        <v>7</v>
      </c>
      <c r="F913" t="s">
        <v>25</v>
      </c>
      <c r="G913">
        <v>2371.85</v>
      </c>
      <c r="H913">
        <v>2457.29</v>
      </c>
      <c r="I913" t="s">
        <v>29</v>
      </c>
      <c r="J913">
        <v>0.03</v>
      </c>
      <c r="K913" t="s">
        <v>17</v>
      </c>
      <c r="L913" t="s">
        <v>21</v>
      </c>
      <c r="M913" t="s">
        <v>51</v>
      </c>
      <c r="N913">
        <f>sales_data_1[[#This Row],[Unit_Price]]-sales_data_1[[#This Row],[Unit_Cost]]</f>
        <v>85.440000000000055</v>
      </c>
      <c r="O913">
        <f>sales_data_1[[#This Row],[Unit_Price]]*sales_data_1[[#This Row],[Quantity_Sold]]</f>
        <v>17201.03</v>
      </c>
      <c r="P913">
        <f>sales_data_1[[#This Row],[Unit - cost]]*sales_data_1[[#This Row],[Quantity_Sold]]</f>
        <v>598.08000000000038</v>
      </c>
    </row>
    <row r="914" spans="1:16" x14ac:dyDescent="0.3">
      <c r="A914">
        <v>1093</v>
      </c>
      <c r="B914" s="1">
        <v>45231</v>
      </c>
      <c r="C914" t="s">
        <v>32</v>
      </c>
      <c r="D914" t="s">
        <v>14</v>
      </c>
      <c r="E914">
        <v>46</v>
      </c>
      <c r="F914" t="s">
        <v>28</v>
      </c>
      <c r="G914">
        <v>401.64</v>
      </c>
      <c r="H914">
        <v>757.26</v>
      </c>
      <c r="I914" t="s">
        <v>29</v>
      </c>
      <c r="J914">
        <v>0.21</v>
      </c>
      <c r="K914" t="s">
        <v>30</v>
      </c>
      <c r="L914" t="s">
        <v>21</v>
      </c>
      <c r="M914" t="s">
        <v>52</v>
      </c>
      <c r="N914">
        <f>sales_data_1[[#This Row],[Unit_Price]]-sales_data_1[[#This Row],[Unit_Cost]]</f>
        <v>355.62</v>
      </c>
      <c r="O914">
        <f>sales_data_1[[#This Row],[Unit_Price]]*sales_data_1[[#This Row],[Quantity_Sold]]</f>
        <v>34833.96</v>
      </c>
      <c r="P914">
        <f>sales_data_1[[#This Row],[Unit - cost]]*sales_data_1[[#This Row],[Quantity_Sold]]</f>
        <v>16358.52</v>
      </c>
    </row>
    <row r="915" spans="1:16" x14ac:dyDescent="0.3">
      <c r="A915">
        <v>1032</v>
      </c>
      <c r="B915" s="1">
        <v>45286</v>
      </c>
      <c r="C915" t="s">
        <v>23</v>
      </c>
      <c r="D915" t="s">
        <v>24</v>
      </c>
      <c r="E915">
        <v>11</v>
      </c>
      <c r="F915" t="s">
        <v>28</v>
      </c>
      <c r="G915">
        <v>4100.62</v>
      </c>
      <c r="H915">
        <v>4230</v>
      </c>
      <c r="I915" t="s">
        <v>29</v>
      </c>
      <c r="J915">
        <v>0.28999999999999998</v>
      </c>
      <c r="K915" t="s">
        <v>26</v>
      </c>
      <c r="L915" t="s">
        <v>18</v>
      </c>
      <c r="M915" t="s">
        <v>27</v>
      </c>
      <c r="N915">
        <f>sales_data_1[[#This Row],[Unit_Price]]-sales_data_1[[#This Row],[Unit_Cost]]</f>
        <v>129.38000000000011</v>
      </c>
      <c r="O915">
        <f>sales_data_1[[#This Row],[Unit_Price]]*sales_data_1[[#This Row],[Quantity_Sold]]</f>
        <v>46530</v>
      </c>
      <c r="P915">
        <f>sales_data_1[[#This Row],[Unit - cost]]*sales_data_1[[#This Row],[Quantity_Sold]]</f>
        <v>1423.1800000000012</v>
      </c>
    </row>
    <row r="916" spans="1:16" x14ac:dyDescent="0.3">
      <c r="A916">
        <v>1050</v>
      </c>
      <c r="B916" s="1">
        <v>45243</v>
      </c>
      <c r="C916" t="s">
        <v>41</v>
      </c>
      <c r="D916" t="s">
        <v>14</v>
      </c>
      <c r="E916">
        <v>28</v>
      </c>
      <c r="F916" t="s">
        <v>25</v>
      </c>
      <c r="G916">
        <v>1711.63</v>
      </c>
      <c r="H916">
        <v>1951.2400000000002</v>
      </c>
      <c r="I916" t="s">
        <v>29</v>
      </c>
      <c r="J916">
        <v>0.22</v>
      </c>
      <c r="K916" t="s">
        <v>17</v>
      </c>
      <c r="L916" t="s">
        <v>18</v>
      </c>
      <c r="M916" t="s">
        <v>48</v>
      </c>
      <c r="N916">
        <f>sales_data_1[[#This Row],[Unit_Price]]-sales_data_1[[#This Row],[Unit_Cost]]</f>
        <v>239.61000000000013</v>
      </c>
      <c r="O916">
        <f>sales_data_1[[#This Row],[Unit_Price]]*sales_data_1[[#This Row],[Quantity_Sold]]</f>
        <v>54634.720000000008</v>
      </c>
      <c r="P916">
        <f>sales_data_1[[#This Row],[Unit - cost]]*sales_data_1[[#This Row],[Quantity_Sold]]</f>
        <v>6709.0800000000036</v>
      </c>
    </row>
    <row r="917" spans="1:16" x14ac:dyDescent="0.3">
      <c r="A917">
        <v>1061</v>
      </c>
      <c r="B917" s="1">
        <v>45049</v>
      </c>
      <c r="C917" t="s">
        <v>13</v>
      </c>
      <c r="D917" t="s">
        <v>24</v>
      </c>
      <c r="E917">
        <v>41</v>
      </c>
      <c r="F917" t="s">
        <v>15</v>
      </c>
      <c r="G917">
        <v>2894.18</v>
      </c>
      <c r="H917">
        <v>3193.92</v>
      </c>
      <c r="I917" t="s">
        <v>29</v>
      </c>
      <c r="J917">
        <v>0.28000000000000003</v>
      </c>
      <c r="K917" t="s">
        <v>26</v>
      </c>
      <c r="L917" t="s">
        <v>21</v>
      </c>
      <c r="M917" t="s">
        <v>31</v>
      </c>
      <c r="N917">
        <f>sales_data_1[[#This Row],[Unit_Price]]-sales_data_1[[#This Row],[Unit_Cost]]</f>
        <v>299.74000000000024</v>
      </c>
      <c r="O917">
        <f>sales_data_1[[#This Row],[Unit_Price]]*sales_data_1[[#This Row],[Quantity_Sold]]</f>
        <v>130950.72</v>
      </c>
      <c r="P917">
        <f>sales_data_1[[#This Row],[Unit - cost]]*sales_data_1[[#This Row],[Quantity_Sold]]</f>
        <v>12289.340000000009</v>
      </c>
    </row>
    <row r="918" spans="1:16" x14ac:dyDescent="0.3">
      <c r="A918">
        <v>1051</v>
      </c>
      <c r="B918" s="1">
        <v>44935</v>
      </c>
      <c r="C918" t="s">
        <v>23</v>
      </c>
      <c r="D918" t="s">
        <v>24</v>
      </c>
      <c r="E918">
        <v>23</v>
      </c>
      <c r="F918" t="s">
        <v>15</v>
      </c>
      <c r="G918">
        <v>2598.1799999999998</v>
      </c>
      <c r="H918">
        <v>3042.73</v>
      </c>
      <c r="I918" t="s">
        <v>16</v>
      </c>
      <c r="J918">
        <v>0.24</v>
      </c>
      <c r="K918" t="s">
        <v>30</v>
      </c>
      <c r="L918" t="s">
        <v>18</v>
      </c>
      <c r="M918" t="s">
        <v>27</v>
      </c>
      <c r="N918">
        <f>sales_data_1[[#This Row],[Unit_Price]]-sales_data_1[[#This Row],[Unit_Cost]]</f>
        <v>444.55000000000018</v>
      </c>
      <c r="O918">
        <f>sales_data_1[[#This Row],[Unit_Price]]*sales_data_1[[#This Row],[Quantity_Sold]]</f>
        <v>69982.789999999994</v>
      </c>
      <c r="P918">
        <f>sales_data_1[[#This Row],[Unit - cost]]*sales_data_1[[#This Row],[Quantity_Sold]]</f>
        <v>10224.650000000005</v>
      </c>
    </row>
    <row r="919" spans="1:16" x14ac:dyDescent="0.3">
      <c r="A919">
        <v>1019</v>
      </c>
      <c r="B919" s="1">
        <v>45188</v>
      </c>
      <c r="C919" t="s">
        <v>32</v>
      </c>
      <c r="D919" t="s">
        <v>20</v>
      </c>
      <c r="E919">
        <v>45</v>
      </c>
      <c r="F919" t="s">
        <v>28</v>
      </c>
      <c r="G919">
        <v>2590.64</v>
      </c>
      <c r="H919">
        <v>3036.18</v>
      </c>
      <c r="I919" t="s">
        <v>29</v>
      </c>
      <c r="J919">
        <v>0.05</v>
      </c>
      <c r="K919" t="s">
        <v>26</v>
      </c>
      <c r="L919" t="s">
        <v>21</v>
      </c>
      <c r="M919" t="s">
        <v>36</v>
      </c>
      <c r="N919">
        <f>sales_data_1[[#This Row],[Unit_Price]]-sales_data_1[[#This Row],[Unit_Cost]]</f>
        <v>445.53999999999996</v>
      </c>
      <c r="O919">
        <f>sales_data_1[[#This Row],[Unit_Price]]*sales_data_1[[#This Row],[Quantity_Sold]]</f>
        <v>136628.1</v>
      </c>
      <c r="P919">
        <f>sales_data_1[[#This Row],[Unit - cost]]*sales_data_1[[#This Row],[Quantity_Sold]]</f>
        <v>20049.3</v>
      </c>
    </row>
    <row r="920" spans="1:16" x14ac:dyDescent="0.3">
      <c r="A920">
        <v>1021</v>
      </c>
      <c r="B920" s="1">
        <v>44999</v>
      </c>
      <c r="C920" t="s">
        <v>23</v>
      </c>
      <c r="D920" t="s">
        <v>24</v>
      </c>
      <c r="E920">
        <v>23</v>
      </c>
      <c r="F920" t="s">
        <v>25</v>
      </c>
      <c r="G920">
        <v>580.75</v>
      </c>
      <c r="H920">
        <v>956.16000000000008</v>
      </c>
      <c r="I920" t="s">
        <v>16</v>
      </c>
      <c r="J920">
        <v>7.0000000000000007E-2</v>
      </c>
      <c r="K920" t="s">
        <v>17</v>
      </c>
      <c r="L920" t="s">
        <v>21</v>
      </c>
      <c r="M920" t="s">
        <v>27</v>
      </c>
      <c r="N920">
        <f>sales_data_1[[#This Row],[Unit_Price]]-sales_data_1[[#This Row],[Unit_Cost]]</f>
        <v>375.41000000000008</v>
      </c>
      <c r="O920">
        <f>sales_data_1[[#This Row],[Unit_Price]]*sales_data_1[[#This Row],[Quantity_Sold]]</f>
        <v>21991.68</v>
      </c>
      <c r="P920">
        <f>sales_data_1[[#This Row],[Unit - cost]]*sales_data_1[[#This Row],[Quantity_Sold]]</f>
        <v>8634.4300000000021</v>
      </c>
    </row>
    <row r="921" spans="1:16" x14ac:dyDescent="0.3">
      <c r="A921">
        <v>1005</v>
      </c>
      <c r="B921" s="1">
        <v>45285</v>
      </c>
      <c r="C921" t="s">
        <v>41</v>
      </c>
      <c r="D921" t="s">
        <v>24</v>
      </c>
      <c r="E921">
        <v>28</v>
      </c>
      <c r="F921" t="s">
        <v>15</v>
      </c>
      <c r="G921">
        <v>2146.2399999999998</v>
      </c>
      <c r="H921">
        <v>2173.4699999999998</v>
      </c>
      <c r="I921" t="s">
        <v>16</v>
      </c>
      <c r="J921">
        <v>0.1</v>
      </c>
      <c r="K921" t="s">
        <v>17</v>
      </c>
      <c r="L921" t="s">
        <v>21</v>
      </c>
      <c r="M921" t="s">
        <v>42</v>
      </c>
      <c r="N921">
        <f>sales_data_1[[#This Row],[Unit_Price]]-sales_data_1[[#This Row],[Unit_Cost]]</f>
        <v>27.230000000000018</v>
      </c>
      <c r="O921">
        <f>sales_data_1[[#This Row],[Unit_Price]]*sales_data_1[[#This Row],[Quantity_Sold]]</f>
        <v>60857.159999999996</v>
      </c>
      <c r="P921">
        <f>sales_data_1[[#This Row],[Unit - cost]]*sales_data_1[[#This Row],[Quantity_Sold]]</f>
        <v>762.44000000000051</v>
      </c>
    </row>
    <row r="922" spans="1:16" x14ac:dyDescent="0.3">
      <c r="A922">
        <v>1082</v>
      </c>
      <c r="B922" s="1">
        <v>45149</v>
      </c>
      <c r="C922" t="s">
        <v>32</v>
      </c>
      <c r="D922" t="s">
        <v>14</v>
      </c>
      <c r="E922">
        <v>43</v>
      </c>
      <c r="F922" t="s">
        <v>15</v>
      </c>
      <c r="G922">
        <v>2289.2199999999998</v>
      </c>
      <c r="H922">
        <v>2581</v>
      </c>
      <c r="I922" t="s">
        <v>29</v>
      </c>
      <c r="J922">
        <v>0.05</v>
      </c>
      <c r="K922" t="s">
        <v>26</v>
      </c>
      <c r="L922" t="s">
        <v>18</v>
      </c>
      <c r="M922" t="s">
        <v>52</v>
      </c>
      <c r="N922">
        <f>sales_data_1[[#This Row],[Unit_Price]]-sales_data_1[[#This Row],[Unit_Cost]]</f>
        <v>291.7800000000002</v>
      </c>
      <c r="O922">
        <f>sales_data_1[[#This Row],[Unit_Price]]*sales_data_1[[#This Row],[Quantity_Sold]]</f>
        <v>110983</v>
      </c>
      <c r="P922">
        <f>sales_data_1[[#This Row],[Unit - cost]]*sales_data_1[[#This Row],[Quantity_Sold]]</f>
        <v>12546.540000000008</v>
      </c>
    </row>
    <row r="923" spans="1:16" x14ac:dyDescent="0.3">
      <c r="A923">
        <v>1092</v>
      </c>
      <c r="B923" s="1">
        <v>44967</v>
      </c>
      <c r="C923" t="s">
        <v>13</v>
      </c>
      <c r="D923" t="s">
        <v>33</v>
      </c>
      <c r="E923">
        <v>47</v>
      </c>
      <c r="F923" t="s">
        <v>15</v>
      </c>
      <c r="G923">
        <v>3681.53</v>
      </c>
      <c r="H923">
        <v>4076.96</v>
      </c>
      <c r="I923" t="s">
        <v>16</v>
      </c>
      <c r="J923">
        <v>0.17</v>
      </c>
      <c r="K923" t="s">
        <v>17</v>
      </c>
      <c r="L923" t="s">
        <v>21</v>
      </c>
      <c r="M923" t="s">
        <v>45</v>
      </c>
      <c r="N923">
        <f>sales_data_1[[#This Row],[Unit_Price]]-sales_data_1[[#This Row],[Unit_Cost]]</f>
        <v>395.42999999999984</v>
      </c>
      <c r="O923">
        <f>sales_data_1[[#This Row],[Unit_Price]]*sales_data_1[[#This Row],[Quantity_Sold]]</f>
        <v>191617.12</v>
      </c>
      <c r="P923">
        <f>sales_data_1[[#This Row],[Unit - cost]]*sales_data_1[[#This Row],[Quantity_Sold]]</f>
        <v>18585.209999999992</v>
      </c>
    </row>
    <row r="924" spans="1:16" x14ac:dyDescent="0.3">
      <c r="A924">
        <v>1042</v>
      </c>
      <c r="B924" s="1">
        <v>45130</v>
      </c>
      <c r="C924" t="s">
        <v>32</v>
      </c>
      <c r="D924" t="s">
        <v>20</v>
      </c>
      <c r="E924">
        <v>26</v>
      </c>
      <c r="F924" t="s">
        <v>34</v>
      </c>
      <c r="G924">
        <v>4208.09</v>
      </c>
      <c r="H924">
        <v>4226.5600000000004</v>
      </c>
      <c r="I924" t="s">
        <v>16</v>
      </c>
      <c r="J924">
        <v>0.28999999999999998</v>
      </c>
      <c r="K924" t="s">
        <v>17</v>
      </c>
      <c r="L924" t="s">
        <v>21</v>
      </c>
      <c r="M924" t="s">
        <v>36</v>
      </c>
      <c r="N924">
        <f>sales_data_1[[#This Row],[Unit_Price]]-sales_data_1[[#This Row],[Unit_Cost]]</f>
        <v>18.470000000000255</v>
      </c>
      <c r="O924">
        <f>sales_data_1[[#This Row],[Unit_Price]]*sales_data_1[[#This Row],[Quantity_Sold]]</f>
        <v>109890.56000000001</v>
      </c>
      <c r="P924">
        <f>sales_data_1[[#This Row],[Unit - cost]]*sales_data_1[[#This Row],[Quantity_Sold]]</f>
        <v>480.22000000000662</v>
      </c>
    </row>
    <row r="925" spans="1:16" x14ac:dyDescent="0.3">
      <c r="A925">
        <v>1061</v>
      </c>
      <c r="B925" s="1">
        <v>45190</v>
      </c>
      <c r="C925" t="s">
        <v>32</v>
      </c>
      <c r="D925" t="s">
        <v>24</v>
      </c>
      <c r="E925">
        <v>25</v>
      </c>
      <c r="F925" t="s">
        <v>25</v>
      </c>
      <c r="G925">
        <v>2747.66</v>
      </c>
      <c r="H925">
        <v>3027.0099999999998</v>
      </c>
      <c r="I925" t="s">
        <v>29</v>
      </c>
      <c r="J925">
        <v>0.23</v>
      </c>
      <c r="K925" t="s">
        <v>17</v>
      </c>
      <c r="L925" t="s">
        <v>18</v>
      </c>
      <c r="M925" t="s">
        <v>43</v>
      </c>
      <c r="N925">
        <f>sales_data_1[[#This Row],[Unit_Price]]-sales_data_1[[#This Row],[Unit_Cost]]</f>
        <v>279.34999999999991</v>
      </c>
      <c r="O925">
        <f>sales_data_1[[#This Row],[Unit_Price]]*sales_data_1[[#This Row],[Quantity_Sold]]</f>
        <v>75675.25</v>
      </c>
      <c r="P925">
        <f>sales_data_1[[#This Row],[Unit - cost]]*sales_data_1[[#This Row],[Quantity_Sold]]</f>
        <v>6983.7499999999982</v>
      </c>
    </row>
    <row r="926" spans="1:16" x14ac:dyDescent="0.3">
      <c r="A926">
        <v>1022</v>
      </c>
      <c r="B926" s="1">
        <v>45254</v>
      </c>
      <c r="C926" t="s">
        <v>37</v>
      </c>
      <c r="D926" t="s">
        <v>20</v>
      </c>
      <c r="E926">
        <v>29</v>
      </c>
      <c r="F926" t="s">
        <v>15</v>
      </c>
      <c r="G926">
        <v>479.58</v>
      </c>
      <c r="H926">
        <v>909.88</v>
      </c>
      <c r="I926" t="s">
        <v>16</v>
      </c>
      <c r="J926">
        <v>0.13</v>
      </c>
      <c r="K926" t="s">
        <v>30</v>
      </c>
      <c r="L926" t="s">
        <v>21</v>
      </c>
      <c r="M926" t="s">
        <v>40</v>
      </c>
      <c r="N926">
        <f>sales_data_1[[#This Row],[Unit_Price]]-sales_data_1[[#This Row],[Unit_Cost]]</f>
        <v>430.3</v>
      </c>
      <c r="O926">
        <f>sales_data_1[[#This Row],[Unit_Price]]*sales_data_1[[#This Row],[Quantity_Sold]]</f>
        <v>26386.52</v>
      </c>
      <c r="P926">
        <f>sales_data_1[[#This Row],[Unit - cost]]*sales_data_1[[#This Row],[Quantity_Sold]]</f>
        <v>12478.7</v>
      </c>
    </row>
    <row r="927" spans="1:16" x14ac:dyDescent="0.3">
      <c r="A927">
        <v>1021</v>
      </c>
      <c r="B927" s="1">
        <v>45104</v>
      </c>
      <c r="C927" t="s">
        <v>32</v>
      </c>
      <c r="D927" t="s">
        <v>14</v>
      </c>
      <c r="E927">
        <v>19</v>
      </c>
      <c r="F927" t="s">
        <v>34</v>
      </c>
      <c r="G927">
        <v>1222.4000000000001</v>
      </c>
      <c r="H927">
        <v>1464.71</v>
      </c>
      <c r="I927" t="s">
        <v>29</v>
      </c>
      <c r="J927">
        <v>0</v>
      </c>
      <c r="K927" t="s">
        <v>30</v>
      </c>
      <c r="L927" t="s">
        <v>21</v>
      </c>
      <c r="M927" t="s">
        <v>52</v>
      </c>
      <c r="N927">
        <f>sales_data_1[[#This Row],[Unit_Price]]-sales_data_1[[#This Row],[Unit_Cost]]</f>
        <v>242.30999999999995</v>
      </c>
      <c r="O927">
        <f>sales_data_1[[#This Row],[Unit_Price]]*sales_data_1[[#This Row],[Quantity_Sold]]</f>
        <v>27829.49</v>
      </c>
      <c r="P927">
        <f>sales_data_1[[#This Row],[Unit - cost]]*sales_data_1[[#This Row],[Quantity_Sold]]</f>
        <v>4603.8899999999994</v>
      </c>
    </row>
    <row r="928" spans="1:16" x14ac:dyDescent="0.3">
      <c r="A928">
        <v>1070</v>
      </c>
      <c r="B928" s="1">
        <v>45274</v>
      </c>
      <c r="C928" t="s">
        <v>32</v>
      </c>
      <c r="D928" t="s">
        <v>24</v>
      </c>
      <c r="E928">
        <v>33</v>
      </c>
      <c r="F928" t="s">
        <v>25</v>
      </c>
      <c r="G928">
        <v>866.42</v>
      </c>
      <c r="H928">
        <v>878.43</v>
      </c>
      <c r="I928" t="s">
        <v>29</v>
      </c>
      <c r="J928">
        <v>0.09</v>
      </c>
      <c r="K928" t="s">
        <v>17</v>
      </c>
      <c r="L928" t="s">
        <v>21</v>
      </c>
      <c r="M928" t="s">
        <v>43</v>
      </c>
      <c r="N928">
        <f>sales_data_1[[#This Row],[Unit_Price]]-sales_data_1[[#This Row],[Unit_Cost]]</f>
        <v>12.009999999999991</v>
      </c>
      <c r="O928">
        <f>sales_data_1[[#This Row],[Unit_Price]]*sales_data_1[[#This Row],[Quantity_Sold]]</f>
        <v>28988.19</v>
      </c>
      <c r="P928">
        <f>sales_data_1[[#This Row],[Unit - cost]]*sales_data_1[[#This Row],[Quantity_Sold]]</f>
        <v>396.3299999999997</v>
      </c>
    </row>
    <row r="929" spans="1:16" x14ac:dyDescent="0.3">
      <c r="A929">
        <v>1001</v>
      </c>
      <c r="B929" s="1">
        <v>45244</v>
      </c>
      <c r="C929" t="s">
        <v>23</v>
      </c>
      <c r="D929" t="s">
        <v>14</v>
      </c>
      <c r="E929">
        <v>36</v>
      </c>
      <c r="F929" t="s">
        <v>15</v>
      </c>
      <c r="G929">
        <v>666.84</v>
      </c>
      <c r="H929">
        <v>682.24</v>
      </c>
      <c r="I929" t="s">
        <v>29</v>
      </c>
      <c r="J929">
        <v>0.16</v>
      </c>
      <c r="K929" t="s">
        <v>26</v>
      </c>
      <c r="L929" t="s">
        <v>21</v>
      </c>
      <c r="M929" t="s">
        <v>44</v>
      </c>
      <c r="N929">
        <f>sales_data_1[[#This Row],[Unit_Price]]-sales_data_1[[#This Row],[Unit_Cost]]</f>
        <v>15.399999999999977</v>
      </c>
      <c r="O929">
        <f>sales_data_1[[#This Row],[Unit_Price]]*sales_data_1[[#This Row],[Quantity_Sold]]</f>
        <v>24560.639999999999</v>
      </c>
      <c r="P929">
        <f>sales_data_1[[#This Row],[Unit - cost]]*sales_data_1[[#This Row],[Quantity_Sold]]</f>
        <v>554.39999999999918</v>
      </c>
    </row>
    <row r="930" spans="1:16" x14ac:dyDescent="0.3">
      <c r="A930">
        <v>1005</v>
      </c>
      <c r="B930" s="1">
        <v>45010</v>
      </c>
      <c r="C930" t="s">
        <v>13</v>
      </c>
      <c r="D930" t="s">
        <v>20</v>
      </c>
      <c r="E930">
        <v>14</v>
      </c>
      <c r="F930" t="s">
        <v>28</v>
      </c>
      <c r="G930">
        <v>1861.2</v>
      </c>
      <c r="H930">
        <v>2075.35</v>
      </c>
      <c r="I930" t="s">
        <v>16</v>
      </c>
      <c r="J930">
        <v>0.1</v>
      </c>
      <c r="K930" t="s">
        <v>30</v>
      </c>
      <c r="L930" t="s">
        <v>21</v>
      </c>
      <c r="M930" t="s">
        <v>22</v>
      </c>
      <c r="N930">
        <f>sales_data_1[[#This Row],[Unit_Price]]-sales_data_1[[#This Row],[Unit_Cost]]</f>
        <v>214.14999999999986</v>
      </c>
      <c r="O930">
        <f>sales_data_1[[#This Row],[Unit_Price]]*sales_data_1[[#This Row],[Quantity_Sold]]</f>
        <v>29054.899999999998</v>
      </c>
      <c r="P930">
        <f>sales_data_1[[#This Row],[Unit - cost]]*sales_data_1[[#This Row],[Quantity_Sold]]</f>
        <v>2998.0999999999981</v>
      </c>
    </row>
    <row r="931" spans="1:16" x14ac:dyDescent="0.3">
      <c r="A931">
        <v>1012</v>
      </c>
      <c r="B931" s="1">
        <v>45244</v>
      </c>
      <c r="C931" t="s">
        <v>23</v>
      </c>
      <c r="D931" t="s">
        <v>14</v>
      </c>
      <c r="E931">
        <v>14</v>
      </c>
      <c r="F931" t="s">
        <v>34</v>
      </c>
      <c r="G931">
        <v>1185.5</v>
      </c>
      <c r="H931">
        <v>1271.45</v>
      </c>
      <c r="I931" t="s">
        <v>16</v>
      </c>
      <c r="J931">
        <v>0.03</v>
      </c>
      <c r="K931" t="s">
        <v>26</v>
      </c>
      <c r="L931" t="s">
        <v>21</v>
      </c>
      <c r="M931" t="s">
        <v>44</v>
      </c>
      <c r="N931">
        <f>sales_data_1[[#This Row],[Unit_Price]]-sales_data_1[[#This Row],[Unit_Cost]]</f>
        <v>85.950000000000045</v>
      </c>
      <c r="O931">
        <f>sales_data_1[[#This Row],[Unit_Price]]*sales_data_1[[#This Row],[Quantity_Sold]]</f>
        <v>17800.3</v>
      </c>
      <c r="P931">
        <f>sales_data_1[[#This Row],[Unit - cost]]*sales_data_1[[#This Row],[Quantity_Sold]]</f>
        <v>1203.3000000000006</v>
      </c>
    </row>
    <row r="932" spans="1:16" x14ac:dyDescent="0.3">
      <c r="A932">
        <v>1090</v>
      </c>
      <c r="B932" s="1">
        <v>45037</v>
      </c>
      <c r="C932" t="s">
        <v>23</v>
      </c>
      <c r="D932" t="s">
        <v>20</v>
      </c>
      <c r="E932">
        <v>35</v>
      </c>
      <c r="F932" t="s">
        <v>34</v>
      </c>
      <c r="G932">
        <v>1130.5999999999999</v>
      </c>
      <c r="H932">
        <v>1466.1799999999998</v>
      </c>
      <c r="I932" t="s">
        <v>16</v>
      </c>
      <c r="J932">
        <v>0.13</v>
      </c>
      <c r="K932" t="s">
        <v>17</v>
      </c>
      <c r="L932" t="s">
        <v>18</v>
      </c>
      <c r="M932" t="s">
        <v>46</v>
      </c>
      <c r="N932">
        <f>sales_data_1[[#This Row],[Unit_Price]]-sales_data_1[[#This Row],[Unit_Cost]]</f>
        <v>335.57999999999993</v>
      </c>
      <c r="O932">
        <f>sales_data_1[[#This Row],[Unit_Price]]*sales_data_1[[#This Row],[Quantity_Sold]]</f>
        <v>51316.299999999996</v>
      </c>
      <c r="P932">
        <f>sales_data_1[[#This Row],[Unit - cost]]*sales_data_1[[#This Row],[Quantity_Sold]]</f>
        <v>11745.299999999997</v>
      </c>
    </row>
    <row r="933" spans="1:16" x14ac:dyDescent="0.3">
      <c r="A933">
        <v>1046</v>
      </c>
      <c r="B933" s="1">
        <v>45177</v>
      </c>
      <c r="C933" t="s">
        <v>41</v>
      </c>
      <c r="D933" t="s">
        <v>14</v>
      </c>
      <c r="E933">
        <v>30</v>
      </c>
      <c r="F933" t="s">
        <v>15</v>
      </c>
      <c r="G933">
        <v>320.73</v>
      </c>
      <c r="H933">
        <v>678.04</v>
      </c>
      <c r="I933" t="s">
        <v>16</v>
      </c>
      <c r="J933">
        <v>0.08</v>
      </c>
      <c r="K933" t="s">
        <v>17</v>
      </c>
      <c r="L933" t="s">
        <v>21</v>
      </c>
      <c r="M933" t="s">
        <v>48</v>
      </c>
      <c r="N933">
        <f>sales_data_1[[#This Row],[Unit_Price]]-sales_data_1[[#This Row],[Unit_Cost]]</f>
        <v>357.30999999999995</v>
      </c>
      <c r="O933">
        <f>sales_data_1[[#This Row],[Unit_Price]]*sales_data_1[[#This Row],[Quantity_Sold]]</f>
        <v>20341.199999999997</v>
      </c>
      <c r="P933">
        <f>sales_data_1[[#This Row],[Unit - cost]]*sales_data_1[[#This Row],[Quantity_Sold]]</f>
        <v>10719.3</v>
      </c>
    </row>
    <row r="934" spans="1:16" x14ac:dyDescent="0.3">
      <c r="A934">
        <v>1034</v>
      </c>
      <c r="B934" s="1">
        <v>44933</v>
      </c>
      <c r="C934" t="s">
        <v>23</v>
      </c>
      <c r="D934" t="s">
        <v>20</v>
      </c>
      <c r="E934">
        <v>28</v>
      </c>
      <c r="F934" t="s">
        <v>15</v>
      </c>
      <c r="G934">
        <v>137.47</v>
      </c>
      <c r="H934">
        <v>234.63</v>
      </c>
      <c r="I934" t="s">
        <v>29</v>
      </c>
      <c r="J934">
        <v>0.27</v>
      </c>
      <c r="K934" t="s">
        <v>26</v>
      </c>
      <c r="L934" t="s">
        <v>21</v>
      </c>
      <c r="M934" t="s">
        <v>46</v>
      </c>
      <c r="N934">
        <f>sales_data_1[[#This Row],[Unit_Price]]-sales_data_1[[#This Row],[Unit_Cost]]</f>
        <v>97.16</v>
      </c>
      <c r="O934">
        <f>sales_data_1[[#This Row],[Unit_Price]]*sales_data_1[[#This Row],[Quantity_Sold]]</f>
        <v>6569.6399999999994</v>
      </c>
      <c r="P934">
        <f>sales_data_1[[#This Row],[Unit - cost]]*sales_data_1[[#This Row],[Quantity_Sold]]</f>
        <v>2720.48</v>
      </c>
    </row>
    <row r="935" spans="1:16" x14ac:dyDescent="0.3">
      <c r="A935">
        <v>1049</v>
      </c>
      <c r="B935" s="1">
        <v>45010</v>
      </c>
      <c r="C935" t="s">
        <v>37</v>
      </c>
      <c r="D935" t="s">
        <v>33</v>
      </c>
      <c r="E935">
        <v>17</v>
      </c>
      <c r="F935" t="s">
        <v>34</v>
      </c>
      <c r="G935">
        <v>558.70000000000005</v>
      </c>
      <c r="H935">
        <v>1004.08</v>
      </c>
      <c r="I935" t="s">
        <v>16</v>
      </c>
      <c r="J935">
        <v>0.03</v>
      </c>
      <c r="K935" t="s">
        <v>30</v>
      </c>
      <c r="L935" t="s">
        <v>18</v>
      </c>
      <c r="M935" t="s">
        <v>47</v>
      </c>
      <c r="N935">
        <f>sales_data_1[[#This Row],[Unit_Price]]-sales_data_1[[#This Row],[Unit_Cost]]</f>
        <v>445.38</v>
      </c>
      <c r="O935">
        <f>sales_data_1[[#This Row],[Unit_Price]]*sales_data_1[[#This Row],[Quantity_Sold]]</f>
        <v>17069.36</v>
      </c>
      <c r="P935">
        <f>sales_data_1[[#This Row],[Unit - cost]]*sales_data_1[[#This Row],[Quantity_Sold]]</f>
        <v>7571.46</v>
      </c>
    </row>
    <row r="936" spans="1:16" x14ac:dyDescent="0.3">
      <c r="A936">
        <v>1078</v>
      </c>
      <c r="B936" s="1">
        <v>45134</v>
      </c>
      <c r="C936" t="s">
        <v>37</v>
      </c>
      <c r="D936" t="s">
        <v>14</v>
      </c>
      <c r="E936">
        <v>3</v>
      </c>
      <c r="F936" t="s">
        <v>28</v>
      </c>
      <c r="G936">
        <v>902.38</v>
      </c>
      <c r="H936">
        <v>1128.9100000000001</v>
      </c>
      <c r="I936" t="s">
        <v>29</v>
      </c>
      <c r="J936">
        <v>0.01</v>
      </c>
      <c r="K936" t="s">
        <v>26</v>
      </c>
      <c r="L936" t="s">
        <v>21</v>
      </c>
      <c r="M936" t="s">
        <v>39</v>
      </c>
      <c r="N936">
        <f>sales_data_1[[#This Row],[Unit_Price]]-sales_data_1[[#This Row],[Unit_Cost]]</f>
        <v>226.53000000000009</v>
      </c>
      <c r="O936">
        <f>sales_data_1[[#This Row],[Unit_Price]]*sales_data_1[[#This Row],[Quantity_Sold]]</f>
        <v>3386.7300000000005</v>
      </c>
      <c r="P936">
        <f>sales_data_1[[#This Row],[Unit - cost]]*sales_data_1[[#This Row],[Quantity_Sold]]</f>
        <v>679.59000000000026</v>
      </c>
    </row>
    <row r="937" spans="1:16" x14ac:dyDescent="0.3">
      <c r="A937">
        <v>1090</v>
      </c>
      <c r="B937" s="1">
        <v>45240</v>
      </c>
      <c r="C937" t="s">
        <v>41</v>
      </c>
      <c r="D937" t="s">
        <v>14</v>
      </c>
      <c r="E937">
        <v>16</v>
      </c>
      <c r="F937" t="s">
        <v>28</v>
      </c>
      <c r="G937">
        <v>2183.37</v>
      </c>
      <c r="H937">
        <v>2263.3599999999997</v>
      </c>
      <c r="I937" t="s">
        <v>16</v>
      </c>
      <c r="J937">
        <v>0</v>
      </c>
      <c r="K937" t="s">
        <v>26</v>
      </c>
      <c r="L937" t="s">
        <v>21</v>
      </c>
      <c r="M937" t="s">
        <v>48</v>
      </c>
      <c r="N937">
        <f>sales_data_1[[#This Row],[Unit_Price]]-sales_data_1[[#This Row],[Unit_Cost]]</f>
        <v>79.989999999999782</v>
      </c>
      <c r="O937">
        <f>sales_data_1[[#This Row],[Unit_Price]]*sales_data_1[[#This Row],[Quantity_Sold]]</f>
        <v>36213.759999999995</v>
      </c>
      <c r="P937">
        <f>sales_data_1[[#This Row],[Unit - cost]]*sales_data_1[[#This Row],[Quantity_Sold]]</f>
        <v>1279.8399999999965</v>
      </c>
    </row>
    <row r="938" spans="1:16" x14ac:dyDescent="0.3">
      <c r="A938">
        <v>1045</v>
      </c>
      <c r="B938" s="1">
        <v>44948</v>
      </c>
      <c r="C938" t="s">
        <v>13</v>
      </c>
      <c r="D938" t="s">
        <v>33</v>
      </c>
      <c r="E938">
        <v>46</v>
      </c>
      <c r="F938" t="s">
        <v>25</v>
      </c>
      <c r="G938">
        <v>2577.08</v>
      </c>
      <c r="H938">
        <v>2961.56</v>
      </c>
      <c r="I938" t="s">
        <v>16</v>
      </c>
      <c r="J938">
        <v>0.1</v>
      </c>
      <c r="K938" t="s">
        <v>17</v>
      </c>
      <c r="L938" t="s">
        <v>18</v>
      </c>
      <c r="M938" t="s">
        <v>45</v>
      </c>
      <c r="N938">
        <f>sales_data_1[[#This Row],[Unit_Price]]-sales_data_1[[#This Row],[Unit_Cost]]</f>
        <v>384.48</v>
      </c>
      <c r="O938">
        <f>sales_data_1[[#This Row],[Unit_Price]]*sales_data_1[[#This Row],[Quantity_Sold]]</f>
        <v>136231.76</v>
      </c>
      <c r="P938">
        <f>sales_data_1[[#This Row],[Unit - cost]]*sales_data_1[[#This Row],[Quantity_Sold]]</f>
        <v>17686.080000000002</v>
      </c>
    </row>
    <row r="939" spans="1:16" x14ac:dyDescent="0.3">
      <c r="A939">
        <v>1027</v>
      </c>
      <c r="B939" s="1">
        <v>44929</v>
      </c>
      <c r="C939" t="s">
        <v>13</v>
      </c>
      <c r="D939" t="s">
        <v>33</v>
      </c>
      <c r="E939">
        <v>30</v>
      </c>
      <c r="F939" t="s">
        <v>15</v>
      </c>
      <c r="G939">
        <v>745.93</v>
      </c>
      <c r="H939">
        <v>1143.02</v>
      </c>
      <c r="I939" t="s">
        <v>16</v>
      </c>
      <c r="J939">
        <v>0.2</v>
      </c>
      <c r="K939" t="s">
        <v>30</v>
      </c>
      <c r="L939" t="s">
        <v>18</v>
      </c>
      <c r="M939" t="s">
        <v>45</v>
      </c>
      <c r="N939">
        <f>sales_data_1[[#This Row],[Unit_Price]]-sales_data_1[[#This Row],[Unit_Cost]]</f>
        <v>397.09000000000003</v>
      </c>
      <c r="O939">
        <f>sales_data_1[[#This Row],[Unit_Price]]*sales_data_1[[#This Row],[Quantity_Sold]]</f>
        <v>34290.6</v>
      </c>
      <c r="P939">
        <f>sales_data_1[[#This Row],[Unit - cost]]*sales_data_1[[#This Row],[Quantity_Sold]]</f>
        <v>11912.7</v>
      </c>
    </row>
    <row r="940" spans="1:16" x14ac:dyDescent="0.3">
      <c r="A940">
        <v>1073</v>
      </c>
      <c r="B940" s="1">
        <v>45053</v>
      </c>
      <c r="C940" t="s">
        <v>23</v>
      </c>
      <c r="D940" t="s">
        <v>14</v>
      </c>
      <c r="E940">
        <v>29</v>
      </c>
      <c r="F940" t="s">
        <v>28</v>
      </c>
      <c r="G940">
        <v>2152.6799999999998</v>
      </c>
      <c r="H940">
        <v>2475.9299999999998</v>
      </c>
      <c r="I940" t="s">
        <v>16</v>
      </c>
      <c r="J940">
        <v>0.22</v>
      </c>
      <c r="K940" t="s">
        <v>26</v>
      </c>
      <c r="L940" t="s">
        <v>18</v>
      </c>
      <c r="M940" t="s">
        <v>44</v>
      </c>
      <c r="N940">
        <f>sales_data_1[[#This Row],[Unit_Price]]-sales_data_1[[#This Row],[Unit_Cost]]</f>
        <v>323.25</v>
      </c>
      <c r="O940">
        <f>sales_data_1[[#This Row],[Unit_Price]]*sales_data_1[[#This Row],[Quantity_Sold]]</f>
        <v>71801.97</v>
      </c>
      <c r="P940">
        <f>sales_data_1[[#This Row],[Unit - cost]]*sales_data_1[[#This Row],[Quantity_Sold]]</f>
        <v>9374.25</v>
      </c>
    </row>
    <row r="941" spans="1:16" x14ac:dyDescent="0.3">
      <c r="A941">
        <v>1026</v>
      </c>
      <c r="B941" s="1">
        <v>45223</v>
      </c>
      <c r="C941" t="s">
        <v>23</v>
      </c>
      <c r="D941" t="s">
        <v>33</v>
      </c>
      <c r="E941">
        <v>45</v>
      </c>
      <c r="F941" t="s">
        <v>25</v>
      </c>
      <c r="G941">
        <v>1741.66</v>
      </c>
      <c r="H941">
        <v>2169.86</v>
      </c>
      <c r="I941" t="s">
        <v>16</v>
      </c>
      <c r="J941">
        <v>0.14000000000000001</v>
      </c>
      <c r="K941" t="s">
        <v>30</v>
      </c>
      <c r="L941" t="s">
        <v>18</v>
      </c>
      <c r="M941" t="s">
        <v>49</v>
      </c>
      <c r="N941">
        <f>sales_data_1[[#This Row],[Unit_Price]]-sales_data_1[[#This Row],[Unit_Cost]]</f>
        <v>428.20000000000005</v>
      </c>
      <c r="O941">
        <f>sales_data_1[[#This Row],[Unit_Price]]*sales_data_1[[#This Row],[Quantity_Sold]]</f>
        <v>97643.700000000012</v>
      </c>
      <c r="P941">
        <f>sales_data_1[[#This Row],[Unit - cost]]*sales_data_1[[#This Row],[Quantity_Sold]]</f>
        <v>19269.000000000004</v>
      </c>
    </row>
    <row r="942" spans="1:16" x14ac:dyDescent="0.3">
      <c r="A942">
        <v>1047</v>
      </c>
      <c r="B942" s="1">
        <v>45114</v>
      </c>
      <c r="C942" t="s">
        <v>23</v>
      </c>
      <c r="D942" t="s">
        <v>24</v>
      </c>
      <c r="E942">
        <v>15</v>
      </c>
      <c r="F942" t="s">
        <v>28</v>
      </c>
      <c r="G942">
        <v>957.95</v>
      </c>
      <c r="H942">
        <v>1329.26</v>
      </c>
      <c r="I942" t="s">
        <v>29</v>
      </c>
      <c r="J942">
        <v>0.21</v>
      </c>
      <c r="K942" t="s">
        <v>17</v>
      </c>
      <c r="L942" t="s">
        <v>18</v>
      </c>
      <c r="M942" t="s">
        <v>27</v>
      </c>
      <c r="N942">
        <f>sales_data_1[[#This Row],[Unit_Price]]-sales_data_1[[#This Row],[Unit_Cost]]</f>
        <v>371.30999999999995</v>
      </c>
      <c r="O942">
        <f>sales_data_1[[#This Row],[Unit_Price]]*sales_data_1[[#This Row],[Quantity_Sold]]</f>
        <v>19938.900000000001</v>
      </c>
      <c r="P942">
        <f>sales_data_1[[#This Row],[Unit - cost]]*sales_data_1[[#This Row],[Quantity_Sold]]</f>
        <v>5569.65</v>
      </c>
    </row>
    <row r="943" spans="1:16" x14ac:dyDescent="0.3">
      <c r="A943">
        <v>1086</v>
      </c>
      <c r="B943" s="1">
        <v>45288</v>
      </c>
      <c r="C943" t="s">
        <v>13</v>
      </c>
      <c r="D943" t="s">
        <v>20</v>
      </c>
      <c r="E943">
        <v>46</v>
      </c>
      <c r="F943" t="s">
        <v>15</v>
      </c>
      <c r="G943">
        <v>83.86</v>
      </c>
      <c r="H943">
        <v>526.14</v>
      </c>
      <c r="I943" t="s">
        <v>16</v>
      </c>
      <c r="J943">
        <v>0.11</v>
      </c>
      <c r="K943" t="s">
        <v>30</v>
      </c>
      <c r="L943" t="s">
        <v>18</v>
      </c>
      <c r="M943" t="s">
        <v>22</v>
      </c>
      <c r="N943">
        <f>sales_data_1[[#This Row],[Unit_Price]]-sales_data_1[[#This Row],[Unit_Cost]]</f>
        <v>442.28</v>
      </c>
      <c r="O943">
        <f>sales_data_1[[#This Row],[Unit_Price]]*sales_data_1[[#This Row],[Quantity_Sold]]</f>
        <v>24202.44</v>
      </c>
      <c r="P943">
        <f>sales_data_1[[#This Row],[Unit - cost]]*sales_data_1[[#This Row],[Quantity_Sold]]</f>
        <v>20344.879999999997</v>
      </c>
    </row>
    <row r="944" spans="1:16" x14ac:dyDescent="0.3">
      <c r="A944">
        <v>1056</v>
      </c>
      <c r="B944" s="1">
        <v>44940</v>
      </c>
      <c r="C944" t="s">
        <v>32</v>
      </c>
      <c r="D944" t="s">
        <v>20</v>
      </c>
      <c r="E944">
        <v>25</v>
      </c>
      <c r="F944" t="s">
        <v>25</v>
      </c>
      <c r="G944">
        <v>2361.7399999999998</v>
      </c>
      <c r="H944">
        <v>2584.35</v>
      </c>
      <c r="I944" t="s">
        <v>16</v>
      </c>
      <c r="J944">
        <v>0.2</v>
      </c>
      <c r="K944" t="s">
        <v>17</v>
      </c>
      <c r="L944" t="s">
        <v>18</v>
      </c>
      <c r="M944" t="s">
        <v>36</v>
      </c>
      <c r="N944">
        <f>sales_data_1[[#This Row],[Unit_Price]]-sales_data_1[[#This Row],[Unit_Cost]]</f>
        <v>222.61000000000013</v>
      </c>
      <c r="O944">
        <f>sales_data_1[[#This Row],[Unit_Price]]*sales_data_1[[#This Row],[Quantity_Sold]]</f>
        <v>64608.75</v>
      </c>
      <c r="P944">
        <f>sales_data_1[[#This Row],[Unit - cost]]*sales_data_1[[#This Row],[Quantity_Sold]]</f>
        <v>5565.2500000000036</v>
      </c>
    </row>
    <row r="945" spans="1:16" x14ac:dyDescent="0.3">
      <c r="A945">
        <v>1094</v>
      </c>
      <c r="B945" s="1">
        <v>44938</v>
      </c>
      <c r="C945" t="s">
        <v>37</v>
      </c>
      <c r="D945" t="s">
        <v>20</v>
      </c>
      <c r="E945">
        <v>38</v>
      </c>
      <c r="F945" t="s">
        <v>25</v>
      </c>
      <c r="G945">
        <v>3443.98</v>
      </c>
      <c r="H945">
        <v>3820.3</v>
      </c>
      <c r="I945" t="s">
        <v>16</v>
      </c>
      <c r="J945">
        <v>0.01</v>
      </c>
      <c r="K945" t="s">
        <v>30</v>
      </c>
      <c r="L945" t="s">
        <v>21</v>
      </c>
      <c r="M945" t="s">
        <v>40</v>
      </c>
      <c r="N945">
        <f>sales_data_1[[#This Row],[Unit_Price]]-sales_data_1[[#This Row],[Unit_Cost]]</f>
        <v>376.32000000000016</v>
      </c>
      <c r="O945">
        <f>sales_data_1[[#This Row],[Unit_Price]]*sales_data_1[[#This Row],[Quantity_Sold]]</f>
        <v>145171.4</v>
      </c>
      <c r="P945">
        <f>sales_data_1[[#This Row],[Unit - cost]]*sales_data_1[[#This Row],[Quantity_Sold]]</f>
        <v>14300.160000000007</v>
      </c>
    </row>
    <row r="946" spans="1:16" x14ac:dyDescent="0.3">
      <c r="A946">
        <v>1063</v>
      </c>
      <c r="B946" s="1">
        <v>45013</v>
      </c>
      <c r="C946" t="s">
        <v>32</v>
      </c>
      <c r="D946" t="s">
        <v>24</v>
      </c>
      <c r="E946">
        <v>42</v>
      </c>
      <c r="F946" t="s">
        <v>25</v>
      </c>
      <c r="G946">
        <v>1170.07</v>
      </c>
      <c r="H946">
        <v>1669.9499999999998</v>
      </c>
      <c r="I946" t="s">
        <v>16</v>
      </c>
      <c r="J946">
        <v>0.12</v>
      </c>
      <c r="K946" t="s">
        <v>26</v>
      </c>
      <c r="L946" t="s">
        <v>21</v>
      </c>
      <c r="M946" t="s">
        <v>43</v>
      </c>
      <c r="N946">
        <f>sales_data_1[[#This Row],[Unit_Price]]-sales_data_1[[#This Row],[Unit_Cost]]</f>
        <v>499.87999999999988</v>
      </c>
      <c r="O946">
        <f>sales_data_1[[#This Row],[Unit_Price]]*sales_data_1[[#This Row],[Quantity_Sold]]</f>
        <v>70137.899999999994</v>
      </c>
      <c r="P946">
        <f>sales_data_1[[#This Row],[Unit - cost]]*sales_data_1[[#This Row],[Quantity_Sold]]</f>
        <v>20994.959999999995</v>
      </c>
    </row>
    <row r="947" spans="1:16" x14ac:dyDescent="0.3">
      <c r="A947">
        <v>1048</v>
      </c>
      <c r="B947" s="1">
        <v>44938</v>
      </c>
      <c r="C947" t="s">
        <v>32</v>
      </c>
      <c r="D947" t="s">
        <v>33</v>
      </c>
      <c r="E947">
        <v>47</v>
      </c>
      <c r="F947" t="s">
        <v>28</v>
      </c>
      <c r="G947">
        <v>702.44</v>
      </c>
      <c r="H947">
        <v>1067.6600000000001</v>
      </c>
      <c r="I947" t="s">
        <v>29</v>
      </c>
      <c r="J947">
        <v>0.24</v>
      </c>
      <c r="K947" t="s">
        <v>17</v>
      </c>
      <c r="L947" t="s">
        <v>21</v>
      </c>
      <c r="M947" t="s">
        <v>35</v>
      </c>
      <c r="N947">
        <f>sales_data_1[[#This Row],[Unit_Price]]-sales_data_1[[#This Row],[Unit_Cost]]</f>
        <v>365.22</v>
      </c>
      <c r="O947">
        <f>sales_data_1[[#This Row],[Unit_Price]]*sales_data_1[[#This Row],[Quantity_Sold]]</f>
        <v>50180.020000000004</v>
      </c>
      <c r="P947">
        <f>sales_data_1[[#This Row],[Unit - cost]]*sales_data_1[[#This Row],[Quantity_Sold]]</f>
        <v>17165.34</v>
      </c>
    </row>
    <row r="948" spans="1:16" x14ac:dyDescent="0.3">
      <c r="A948">
        <v>1061</v>
      </c>
      <c r="B948" s="1">
        <v>44951</v>
      </c>
      <c r="C948" t="s">
        <v>13</v>
      </c>
      <c r="D948" t="s">
        <v>33</v>
      </c>
      <c r="E948">
        <v>38</v>
      </c>
      <c r="F948" t="s">
        <v>15</v>
      </c>
      <c r="G948">
        <v>4440.8599999999997</v>
      </c>
      <c r="H948">
        <v>4506.8099999999995</v>
      </c>
      <c r="I948" t="s">
        <v>16</v>
      </c>
      <c r="J948">
        <v>0.24</v>
      </c>
      <c r="K948" t="s">
        <v>26</v>
      </c>
      <c r="L948" t="s">
        <v>18</v>
      </c>
      <c r="M948" t="s">
        <v>45</v>
      </c>
      <c r="N948">
        <f>sales_data_1[[#This Row],[Unit_Price]]-sales_data_1[[#This Row],[Unit_Cost]]</f>
        <v>65.949999999999818</v>
      </c>
      <c r="O948">
        <f>sales_data_1[[#This Row],[Unit_Price]]*sales_data_1[[#This Row],[Quantity_Sold]]</f>
        <v>171258.77999999997</v>
      </c>
      <c r="P948">
        <f>sales_data_1[[#This Row],[Unit - cost]]*sales_data_1[[#This Row],[Quantity_Sold]]</f>
        <v>2506.0999999999931</v>
      </c>
    </row>
    <row r="949" spans="1:16" x14ac:dyDescent="0.3">
      <c r="A949">
        <v>1081</v>
      </c>
      <c r="B949" s="1">
        <v>45227</v>
      </c>
      <c r="C949" t="s">
        <v>32</v>
      </c>
      <c r="D949" t="s">
        <v>14</v>
      </c>
      <c r="E949">
        <v>23</v>
      </c>
      <c r="F949" t="s">
        <v>25</v>
      </c>
      <c r="G949">
        <v>1411.37</v>
      </c>
      <c r="H949">
        <v>1675.35</v>
      </c>
      <c r="I949" t="s">
        <v>29</v>
      </c>
      <c r="J949">
        <v>0.21</v>
      </c>
      <c r="K949" t="s">
        <v>17</v>
      </c>
      <c r="L949" t="s">
        <v>21</v>
      </c>
      <c r="M949" t="s">
        <v>52</v>
      </c>
      <c r="N949">
        <f>sales_data_1[[#This Row],[Unit_Price]]-sales_data_1[[#This Row],[Unit_Cost]]</f>
        <v>263.98</v>
      </c>
      <c r="O949">
        <f>sales_data_1[[#This Row],[Unit_Price]]*sales_data_1[[#This Row],[Quantity_Sold]]</f>
        <v>38533.049999999996</v>
      </c>
      <c r="P949">
        <f>sales_data_1[[#This Row],[Unit - cost]]*sales_data_1[[#This Row],[Quantity_Sold]]</f>
        <v>6071.5400000000009</v>
      </c>
    </row>
    <row r="950" spans="1:16" x14ac:dyDescent="0.3">
      <c r="A950">
        <v>1026</v>
      </c>
      <c r="B950" s="1">
        <v>45169</v>
      </c>
      <c r="C950" t="s">
        <v>41</v>
      </c>
      <c r="D950" t="s">
        <v>33</v>
      </c>
      <c r="E950">
        <v>25</v>
      </c>
      <c r="F950" t="s">
        <v>34</v>
      </c>
      <c r="G950">
        <v>1156.8800000000001</v>
      </c>
      <c r="H950">
        <v>1454.68</v>
      </c>
      <c r="I950" t="s">
        <v>16</v>
      </c>
      <c r="J950">
        <v>0.06</v>
      </c>
      <c r="K950" t="s">
        <v>30</v>
      </c>
      <c r="L950" t="s">
        <v>18</v>
      </c>
      <c r="M950" t="s">
        <v>51</v>
      </c>
      <c r="N950">
        <f>sales_data_1[[#This Row],[Unit_Price]]-sales_data_1[[#This Row],[Unit_Cost]]</f>
        <v>297.79999999999995</v>
      </c>
      <c r="O950">
        <f>sales_data_1[[#This Row],[Unit_Price]]*sales_data_1[[#This Row],[Quantity_Sold]]</f>
        <v>36367</v>
      </c>
      <c r="P950">
        <f>sales_data_1[[#This Row],[Unit - cost]]*sales_data_1[[#This Row],[Quantity_Sold]]</f>
        <v>7444.9999999999991</v>
      </c>
    </row>
    <row r="951" spans="1:16" x14ac:dyDescent="0.3">
      <c r="A951">
        <v>1036</v>
      </c>
      <c r="B951" s="1">
        <v>45048</v>
      </c>
      <c r="C951" t="s">
        <v>23</v>
      </c>
      <c r="D951" t="s">
        <v>14</v>
      </c>
      <c r="E951">
        <v>42</v>
      </c>
      <c r="F951" t="s">
        <v>15</v>
      </c>
      <c r="G951">
        <v>4292.63</v>
      </c>
      <c r="H951">
        <v>4387.99</v>
      </c>
      <c r="I951" t="s">
        <v>29</v>
      </c>
      <c r="J951">
        <v>7.0000000000000007E-2</v>
      </c>
      <c r="K951" t="s">
        <v>30</v>
      </c>
      <c r="L951" t="s">
        <v>21</v>
      </c>
      <c r="M951" t="s">
        <v>44</v>
      </c>
      <c r="N951">
        <f>sales_data_1[[#This Row],[Unit_Price]]-sales_data_1[[#This Row],[Unit_Cost]]</f>
        <v>95.359999999999673</v>
      </c>
      <c r="O951">
        <f>sales_data_1[[#This Row],[Unit_Price]]*sales_data_1[[#This Row],[Quantity_Sold]]</f>
        <v>184295.58</v>
      </c>
      <c r="P951">
        <f>sales_data_1[[#This Row],[Unit - cost]]*sales_data_1[[#This Row],[Quantity_Sold]]</f>
        <v>4005.1199999999862</v>
      </c>
    </row>
    <row r="952" spans="1:16" x14ac:dyDescent="0.3">
      <c r="A952">
        <v>1001</v>
      </c>
      <c r="B952" s="1">
        <v>45073</v>
      </c>
      <c r="C952" t="s">
        <v>41</v>
      </c>
      <c r="D952" t="s">
        <v>24</v>
      </c>
      <c r="E952">
        <v>7</v>
      </c>
      <c r="F952" t="s">
        <v>34</v>
      </c>
      <c r="G952">
        <v>4094.68</v>
      </c>
      <c r="H952">
        <v>4576.5</v>
      </c>
      <c r="I952" t="s">
        <v>29</v>
      </c>
      <c r="J952">
        <v>0.3</v>
      </c>
      <c r="K952" t="s">
        <v>17</v>
      </c>
      <c r="L952" t="s">
        <v>21</v>
      </c>
      <c r="M952" t="s">
        <v>42</v>
      </c>
      <c r="N952">
        <f>sales_data_1[[#This Row],[Unit_Price]]-sales_data_1[[#This Row],[Unit_Cost]]</f>
        <v>481.82000000000016</v>
      </c>
      <c r="O952">
        <f>sales_data_1[[#This Row],[Unit_Price]]*sales_data_1[[#This Row],[Quantity_Sold]]</f>
        <v>32035.5</v>
      </c>
      <c r="P952">
        <f>sales_data_1[[#This Row],[Unit - cost]]*sales_data_1[[#This Row],[Quantity_Sold]]</f>
        <v>3372.7400000000011</v>
      </c>
    </row>
    <row r="953" spans="1:16" x14ac:dyDescent="0.3">
      <c r="A953">
        <v>1008</v>
      </c>
      <c r="B953" s="1">
        <v>44981</v>
      </c>
      <c r="C953" t="s">
        <v>37</v>
      </c>
      <c r="D953" t="s">
        <v>20</v>
      </c>
      <c r="E953">
        <v>22</v>
      </c>
      <c r="F953" t="s">
        <v>34</v>
      </c>
      <c r="G953">
        <v>2269.3200000000002</v>
      </c>
      <c r="H953">
        <v>2365.3500000000004</v>
      </c>
      <c r="I953" t="s">
        <v>29</v>
      </c>
      <c r="J953">
        <v>0.03</v>
      </c>
      <c r="K953" t="s">
        <v>17</v>
      </c>
      <c r="L953" t="s">
        <v>21</v>
      </c>
      <c r="M953" t="s">
        <v>40</v>
      </c>
      <c r="N953">
        <f>sales_data_1[[#This Row],[Unit_Price]]-sales_data_1[[#This Row],[Unit_Cost]]</f>
        <v>96.0300000000002</v>
      </c>
      <c r="O953">
        <f>sales_data_1[[#This Row],[Unit_Price]]*sales_data_1[[#This Row],[Quantity_Sold]]</f>
        <v>52037.700000000012</v>
      </c>
      <c r="P953">
        <f>sales_data_1[[#This Row],[Unit - cost]]*sales_data_1[[#This Row],[Quantity_Sold]]</f>
        <v>2112.6600000000044</v>
      </c>
    </row>
    <row r="954" spans="1:16" x14ac:dyDescent="0.3">
      <c r="A954">
        <v>1099</v>
      </c>
      <c r="B954" s="1">
        <v>45164</v>
      </c>
      <c r="C954" t="s">
        <v>23</v>
      </c>
      <c r="D954" t="s">
        <v>20</v>
      </c>
      <c r="E954">
        <v>17</v>
      </c>
      <c r="F954" t="s">
        <v>25</v>
      </c>
      <c r="G954">
        <v>2471.73</v>
      </c>
      <c r="H954">
        <v>2568.73</v>
      </c>
      <c r="I954" t="s">
        <v>29</v>
      </c>
      <c r="J954">
        <v>0.05</v>
      </c>
      <c r="K954" t="s">
        <v>17</v>
      </c>
      <c r="L954" t="s">
        <v>21</v>
      </c>
      <c r="M954" t="s">
        <v>46</v>
      </c>
      <c r="N954">
        <f>sales_data_1[[#This Row],[Unit_Price]]-sales_data_1[[#This Row],[Unit_Cost]]</f>
        <v>97</v>
      </c>
      <c r="O954">
        <f>sales_data_1[[#This Row],[Unit_Price]]*sales_data_1[[#This Row],[Quantity_Sold]]</f>
        <v>43668.41</v>
      </c>
      <c r="P954">
        <f>sales_data_1[[#This Row],[Unit - cost]]*sales_data_1[[#This Row],[Quantity_Sold]]</f>
        <v>1649</v>
      </c>
    </row>
    <row r="955" spans="1:16" x14ac:dyDescent="0.3">
      <c r="A955">
        <v>1052</v>
      </c>
      <c r="B955" s="1">
        <v>45282</v>
      </c>
      <c r="C955" t="s">
        <v>32</v>
      </c>
      <c r="D955" t="s">
        <v>20</v>
      </c>
      <c r="E955">
        <v>18</v>
      </c>
      <c r="F955" t="s">
        <v>25</v>
      </c>
      <c r="G955">
        <v>1127.8599999999999</v>
      </c>
      <c r="H955">
        <v>1586.29</v>
      </c>
      <c r="I955" t="s">
        <v>29</v>
      </c>
      <c r="J955">
        <v>0.04</v>
      </c>
      <c r="K955" t="s">
        <v>30</v>
      </c>
      <c r="L955" t="s">
        <v>18</v>
      </c>
      <c r="M955" t="s">
        <v>36</v>
      </c>
      <c r="N955">
        <f>sales_data_1[[#This Row],[Unit_Price]]-sales_data_1[[#This Row],[Unit_Cost]]</f>
        <v>458.43000000000006</v>
      </c>
      <c r="O955">
        <f>sales_data_1[[#This Row],[Unit_Price]]*sales_data_1[[#This Row],[Quantity_Sold]]</f>
        <v>28553.22</v>
      </c>
      <c r="P955">
        <f>sales_data_1[[#This Row],[Unit - cost]]*sales_data_1[[#This Row],[Quantity_Sold]]</f>
        <v>8251.7400000000016</v>
      </c>
    </row>
    <row r="956" spans="1:16" x14ac:dyDescent="0.3">
      <c r="A956">
        <v>1079</v>
      </c>
      <c r="B956" s="1">
        <v>45099</v>
      </c>
      <c r="C956" t="s">
        <v>37</v>
      </c>
      <c r="D956" t="s">
        <v>33</v>
      </c>
      <c r="E956">
        <v>49</v>
      </c>
      <c r="F956" t="s">
        <v>28</v>
      </c>
      <c r="G956">
        <v>437.59</v>
      </c>
      <c r="H956">
        <v>675.54</v>
      </c>
      <c r="I956" t="s">
        <v>16</v>
      </c>
      <c r="J956">
        <v>0.1</v>
      </c>
      <c r="K956" t="s">
        <v>17</v>
      </c>
      <c r="L956" t="s">
        <v>18</v>
      </c>
      <c r="M956" t="s">
        <v>47</v>
      </c>
      <c r="N956">
        <f>sales_data_1[[#This Row],[Unit_Price]]-sales_data_1[[#This Row],[Unit_Cost]]</f>
        <v>237.95</v>
      </c>
      <c r="O956">
        <f>sales_data_1[[#This Row],[Unit_Price]]*sales_data_1[[#This Row],[Quantity_Sold]]</f>
        <v>33101.46</v>
      </c>
      <c r="P956">
        <f>sales_data_1[[#This Row],[Unit - cost]]*sales_data_1[[#This Row],[Quantity_Sold]]</f>
        <v>11659.55</v>
      </c>
    </row>
    <row r="957" spans="1:16" x14ac:dyDescent="0.3">
      <c r="A957">
        <v>1047</v>
      </c>
      <c r="B957" s="1">
        <v>45147</v>
      </c>
      <c r="C957" t="s">
        <v>23</v>
      </c>
      <c r="D957" t="s">
        <v>14</v>
      </c>
      <c r="E957">
        <v>41</v>
      </c>
      <c r="F957" t="s">
        <v>28</v>
      </c>
      <c r="G957">
        <v>2888.49</v>
      </c>
      <c r="H957">
        <v>2929.45</v>
      </c>
      <c r="I957" t="s">
        <v>29</v>
      </c>
      <c r="J957">
        <v>0.06</v>
      </c>
      <c r="K957" t="s">
        <v>17</v>
      </c>
      <c r="L957" t="s">
        <v>21</v>
      </c>
      <c r="M957" t="s">
        <v>44</v>
      </c>
      <c r="N957">
        <f>sales_data_1[[#This Row],[Unit_Price]]-sales_data_1[[#This Row],[Unit_Cost]]</f>
        <v>40.960000000000036</v>
      </c>
      <c r="O957">
        <f>sales_data_1[[#This Row],[Unit_Price]]*sales_data_1[[#This Row],[Quantity_Sold]]</f>
        <v>120107.45</v>
      </c>
      <c r="P957">
        <f>sales_data_1[[#This Row],[Unit - cost]]*sales_data_1[[#This Row],[Quantity_Sold]]</f>
        <v>1679.3600000000015</v>
      </c>
    </row>
    <row r="958" spans="1:16" x14ac:dyDescent="0.3">
      <c r="A958">
        <v>1056</v>
      </c>
      <c r="B958" s="1">
        <v>45045</v>
      </c>
      <c r="C958" t="s">
        <v>32</v>
      </c>
      <c r="D958" t="s">
        <v>14</v>
      </c>
      <c r="E958">
        <v>10</v>
      </c>
      <c r="F958" t="s">
        <v>28</v>
      </c>
      <c r="G958">
        <v>536.80999999999995</v>
      </c>
      <c r="H958">
        <v>839.92</v>
      </c>
      <c r="I958" t="s">
        <v>16</v>
      </c>
      <c r="J958">
        <v>0.15</v>
      </c>
      <c r="K958" t="s">
        <v>26</v>
      </c>
      <c r="L958" t="s">
        <v>18</v>
      </c>
      <c r="M958" t="s">
        <v>52</v>
      </c>
      <c r="N958">
        <f>sales_data_1[[#This Row],[Unit_Price]]-sales_data_1[[#This Row],[Unit_Cost]]</f>
        <v>303.11</v>
      </c>
      <c r="O958">
        <f>sales_data_1[[#This Row],[Unit_Price]]*sales_data_1[[#This Row],[Quantity_Sold]]</f>
        <v>8399.1999999999989</v>
      </c>
      <c r="P958">
        <f>sales_data_1[[#This Row],[Unit - cost]]*sales_data_1[[#This Row],[Quantity_Sold]]</f>
        <v>3031.1000000000004</v>
      </c>
    </row>
    <row r="959" spans="1:16" x14ac:dyDescent="0.3">
      <c r="A959">
        <v>1086</v>
      </c>
      <c r="B959" s="1">
        <v>45235</v>
      </c>
      <c r="C959" t="s">
        <v>41</v>
      </c>
      <c r="D959" t="s">
        <v>24</v>
      </c>
      <c r="E959">
        <v>10</v>
      </c>
      <c r="F959" t="s">
        <v>15</v>
      </c>
      <c r="G959">
        <v>2273.91</v>
      </c>
      <c r="H959">
        <v>2578.7999999999997</v>
      </c>
      <c r="I959" t="s">
        <v>29</v>
      </c>
      <c r="J959">
        <v>0.14000000000000001</v>
      </c>
      <c r="K959" t="s">
        <v>17</v>
      </c>
      <c r="L959" t="s">
        <v>18</v>
      </c>
      <c r="M959" t="s">
        <v>42</v>
      </c>
      <c r="N959">
        <f>sales_data_1[[#This Row],[Unit_Price]]-sales_data_1[[#This Row],[Unit_Cost]]</f>
        <v>304.88999999999987</v>
      </c>
      <c r="O959">
        <f>sales_data_1[[#This Row],[Unit_Price]]*sales_data_1[[#This Row],[Quantity_Sold]]</f>
        <v>25787.999999999996</v>
      </c>
      <c r="P959">
        <f>sales_data_1[[#This Row],[Unit - cost]]*sales_data_1[[#This Row],[Quantity_Sold]]</f>
        <v>3048.8999999999987</v>
      </c>
    </row>
    <row r="960" spans="1:16" x14ac:dyDescent="0.3">
      <c r="A960">
        <v>1014</v>
      </c>
      <c r="B960" s="1">
        <v>45109</v>
      </c>
      <c r="C960" t="s">
        <v>23</v>
      </c>
      <c r="D960" t="s">
        <v>33</v>
      </c>
      <c r="E960">
        <v>7</v>
      </c>
      <c r="F960" t="s">
        <v>28</v>
      </c>
      <c r="G960">
        <v>4705.46</v>
      </c>
      <c r="H960">
        <v>4747.07</v>
      </c>
      <c r="I960" t="s">
        <v>29</v>
      </c>
      <c r="J960">
        <v>0.27</v>
      </c>
      <c r="K960" t="s">
        <v>26</v>
      </c>
      <c r="L960" t="s">
        <v>21</v>
      </c>
      <c r="M960" t="s">
        <v>49</v>
      </c>
      <c r="N960">
        <f>sales_data_1[[#This Row],[Unit_Price]]-sales_data_1[[#This Row],[Unit_Cost]]</f>
        <v>41.609999999999673</v>
      </c>
      <c r="O960">
        <f>sales_data_1[[#This Row],[Unit_Price]]*sales_data_1[[#This Row],[Quantity_Sold]]</f>
        <v>33229.49</v>
      </c>
      <c r="P960">
        <f>sales_data_1[[#This Row],[Unit - cost]]*sales_data_1[[#This Row],[Quantity_Sold]]</f>
        <v>291.26999999999771</v>
      </c>
    </row>
    <row r="961" spans="1:16" x14ac:dyDescent="0.3">
      <c r="A961">
        <v>1090</v>
      </c>
      <c r="B961" s="1">
        <v>45214</v>
      </c>
      <c r="C961" t="s">
        <v>32</v>
      </c>
      <c r="D961" t="s">
        <v>24</v>
      </c>
      <c r="E961">
        <v>48</v>
      </c>
      <c r="F961" t="s">
        <v>34</v>
      </c>
      <c r="G961">
        <v>4766.53</v>
      </c>
      <c r="H961">
        <v>5253.07</v>
      </c>
      <c r="I961" t="s">
        <v>16</v>
      </c>
      <c r="J961">
        <v>0.01</v>
      </c>
      <c r="K961" t="s">
        <v>26</v>
      </c>
      <c r="L961" t="s">
        <v>18</v>
      </c>
      <c r="M961" t="s">
        <v>43</v>
      </c>
      <c r="N961">
        <f>sales_data_1[[#This Row],[Unit_Price]]-sales_data_1[[#This Row],[Unit_Cost]]</f>
        <v>486.53999999999996</v>
      </c>
      <c r="O961">
        <f>sales_data_1[[#This Row],[Unit_Price]]*sales_data_1[[#This Row],[Quantity_Sold]]</f>
        <v>252147.36</v>
      </c>
      <c r="P961">
        <f>sales_data_1[[#This Row],[Unit - cost]]*sales_data_1[[#This Row],[Quantity_Sold]]</f>
        <v>23353.919999999998</v>
      </c>
    </row>
    <row r="962" spans="1:16" x14ac:dyDescent="0.3">
      <c r="A962">
        <v>1028</v>
      </c>
      <c r="B962" s="1">
        <v>45233</v>
      </c>
      <c r="C962" t="s">
        <v>41</v>
      </c>
      <c r="D962" t="s">
        <v>14</v>
      </c>
      <c r="E962">
        <v>38</v>
      </c>
      <c r="F962" t="s">
        <v>28</v>
      </c>
      <c r="G962">
        <v>1234.69</v>
      </c>
      <c r="H962">
        <v>1511.26</v>
      </c>
      <c r="I962" t="s">
        <v>29</v>
      </c>
      <c r="J962">
        <v>0.1</v>
      </c>
      <c r="K962" t="s">
        <v>26</v>
      </c>
      <c r="L962" t="s">
        <v>18</v>
      </c>
      <c r="M962" t="s">
        <v>48</v>
      </c>
      <c r="N962">
        <f>sales_data_1[[#This Row],[Unit_Price]]-sales_data_1[[#This Row],[Unit_Cost]]</f>
        <v>276.56999999999994</v>
      </c>
      <c r="O962">
        <f>sales_data_1[[#This Row],[Unit_Price]]*sales_data_1[[#This Row],[Quantity_Sold]]</f>
        <v>57427.88</v>
      </c>
      <c r="P962">
        <f>sales_data_1[[#This Row],[Unit - cost]]*sales_data_1[[#This Row],[Quantity_Sold]]</f>
        <v>10509.659999999998</v>
      </c>
    </row>
    <row r="963" spans="1:16" x14ac:dyDescent="0.3">
      <c r="A963">
        <v>1087</v>
      </c>
      <c r="B963" s="1">
        <v>45226</v>
      </c>
      <c r="C963" t="s">
        <v>37</v>
      </c>
      <c r="D963" t="s">
        <v>14</v>
      </c>
      <c r="E963">
        <v>27</v>
      </c>
      <c r="F963" t="s">
        <v>25</v>
      </c>
      <c r="G963">
        <v>3139.36</v>
      </c>
      <c r="H963">
        <v>3423.6600000000003</v>
      </c>
      <c r="I963" t="s">
        <v>29</v>
      </c>
      <c r="J963">
        <v>0.18</v>
      </c>
      <c r="K963" t="s">
        <v>30</v>
      </c>
      <c r="L963" t="s">
        <v>18</v>
      </c>
      <c r="M963" t="s">
        <v>39</v>
      </c>
      <c r="N963">
        <f>sales_data_1[[#This Row],[Unit_Price]]-sales_data_1[[#This Row],[Unit_Cost]]</f>
        <v>284.30000000000018</v>
      </c>
      <c r="O963">
        <f>sales_data_1[[#This Row],[Unit_Price]]*sales_data_1[[#This Row],[Quantity_Sold]]</f>
        <v>92438.82</v>
      </c>
      <c r="P963">
        <f>sales_data_1[[#This Row],[Unit - cost]]*sales_data_1[[#This Row],[Quantity_Sold]]</f>
        <v>7676.1000000000049</v>
      </c>
    </row>
    <row r="964" spans="1:16" x14ac:dyDescent="0.3">
      <c r="A964">
        <v>1078</v>
      </c>
      <c r="B964" s="1">
        <v>45008</v>
      </c>
      <c r="C964" t="s">
        <v>37</v>
      </c>
      <c r="D964" t="s">
        <v>20</v>
      </c>
      <c r="E964">
        <v>33</v>
      </c>
      <c r="F964" t="s">
        <v>28</v>
      </c>
      <c r="G964">
        <v>2396.6799999999998</v>
      </c>
      <c r="H964">
        <v>2661.54</v>
      </c>
      <c r="I964" t="s">
        <v>29</v>
      </c>
      <c r="J964">
        <v>0.18</v>
      </c>
      <c r="K964" t="s">
        <v>26</v>
      </c>
      <c r="L964" t="s">
        <v>18</v>
      </c>
      <c r="M964" t="s">
        <v>40</v>
      </c>
      <c r="N964">
        <f>sales_data_1[[#This Row],[Unit_Price]]-sales_data_1[[#This Row],[Unit_Cost]]</f>
        <v>264.86000000000013</v>
      </c>
      <c r="O964">
        <f>sales_data_1[[#This Row],[Unit_Price]]*sales_data_1[[#This Row],[Quantity_Sold]]</f>
        <v>87830.819999999992</v>
      </c>
      <c r="P964">
        <f>sales_data_1[[#This Row],[Unit - cost]]*sales_data_1[[#This Row],[Quantity_Sold]]</f>
        <v>8740.3800000000047</v>
      </c>
    </row>
    <row r="965" spans="1:16" x14ac:dyDescent="0.3">
      <c r="A965">
        <v>1088</v>
      </c>
      <c r="B965" s="1">
        <v>45137</v>
      </c>
      <c r="C965" t="s">
        <v>37</v>
      </c>
      <c r="D965" t="s">
        <v>33</v>
      </c>
      <c r="E965">
        <v>1</v>
      </c>
      <c r="F965" t="s">
        <v>15</v>
      </c>
      <c r="G965">
        <v>4384.6400000000003</v>
      </c>
      <c r="H965">
        <v>4693.9000000000005</v>
      </c>
      <c r="I965" t="s">
        <v>29</v>
      </c>
      <c r="J965">
        <v>0.14000000000000001</v>
      </c>
      <c r="K965" t="s">
        <v>17</v>
      </c>
      <c r="L965" t="s">
        <v>21</v>
      </c>
      <c r="M965" t="s">
        <v>47</v>
      </c>
      <c r="N965">
        <f>sales_data_1[[#This Row],[Unit_Price]]-sales_data_1[[#This Row],[Unit_Cost]]</f>
        <v>309.26000000000022</v>
      </c>
      <c r="O965">
        <f>sales_data_1[[#This Row],[Unit_Price]]*sales_data_1[[#This Row],[Quantity_Sold]]</f>
        <v>4693.9000000000005</v>
      </c>
      <c r="P965">
        <f>sales_data_1[[#This Row],[Unit - cost]]*sales_data_1[[#This Row],[Quantity_Sold]]</f>
        <v>309.26000000000022</v>
      </c>
    </row>
    <row r="966" spans="1:16" x14ac:dyDescent="0.3">
      <c r="A966">
        <v>1002</v>
      </c>
      <c r="B966" s="1">
        <v>45076</v>
      </c>
      <c r="C966" t="s">
        <v>37</v>
      </c>
      <c r="D966" t="s">
        <v>14</v>
      </c>
      <c r="E966">
        <v>44</v>
      </c>
      <c r="F966" t="s">
        <v>15</v>
      </c>
      <c r="G966">
        <v>1393.58</v>
      </c>
      <c r="H966">
        <v>1533.09</v>
      </c>
      <c r="I966" t="s">
        <v>16</v>
      </c>
      <c r="J966">
        <v>0.24</v>
      </c>
      <c r="K966" t="s">
        <v>30</v>
      </c>
      <c r="L966" t="s">
        <v>21</v>
      </c>
      <c r="M966" t="s">
        <v>39</v>
      </c>
      <c r="N966">
        <f>sales_data_1[[#This Row],[Unit_Price]]-sales_data_1[[#This Row],[Unit_Cost]]</f>
        <v>139.51</v>
      </c>
      <c r="O966">
        <f>sales_data_1[[#This Row],[Unit_Price]]*sales_data_1[[#This Row],[Quantity_Sold]]</f>
        <v>67455.959999999992</v>
      </c>
      <c r="P966">
        <f>sales_data_1[[#This Row],[Unit - cost]]*sales_data_1[[#This Row],[Quantity_Sold]]</f>
        <v>6138.44</v>
      </c>
    </row>
    <row r="967" spans="1:16" x14ac:dyDescent="0.3">
      <c r="A967">
        <v>1026</v>
      </c>
      <c r="B967" s="1">
        <v>44963</v>
      </c>
      <c r="C967" t="s">
        <v>13</v>
      </c>
      <c r="D967" t="s">
        <v>20</v>
      </c>
      <c r="E967">
        <v>34</v>
      </c>
      <c r="F967" t="s">
        <v>34</v>
      </c>
      <c r="G967">
        <v>68.33</v>
      </c>
      <c r="H967">
        <v>219.07999999999998</v>
      </c>
      <c r="I967" t="s">
        <v>29</v>
      </c>
      <c r="J967">
        <v>0.02</v>
      </c>
      <c r="K967" t="s">
        <v>30</v>
      </c>
      <c r="L967" t="s">
        <v>18</v>
      </c>
      <c r="M967" t="s">
        <v>22</v>
      </c>
      <c r="N967">
        <f>sales_data_1[[#This Row],[Unit_Price]]-sales_data_1[[#This Row],[Unit_Cost]]</f>
        <v>150.75</v>
      </c>
      <c r="O967">
        <f>sales_data_1[[#This Row],[Unit_Price]]*sales_data_1[[#This Row],[Quantity_Sold]]</f>
        <v>7448.7199999999993</v>
      </c>
      <c r="P967">
        <f>sales_data_1[[#This Row],[Unit - cost]]*sales_data_1[[#This Row],[Quantity_Sold]]</f>
        <v>5125.5</v>
      </c>
    </row>
    <row r="968" spans="1:16" x14ac:dyDescent="0.3">
      <c r="A968">
        <v>1014</v>
      </c>
      <c r="B968" s="1">
        <v>45278</v>
      </c>
      <c r="C968" t="s">
        <v>23</v>
      </c>
      <c r="D968" t="s">
        <v>33</v>
      </c>
      <c r="E968">
        <v>4</v>
      </c>
      <c r="F968" t="s">
        <v>15</v>
      </c>
      <c r="G968">
        <v>854.68</v>
      </c>
      <c r="H968">
        <v>1115.24</v>
      </c>
      <c r="I968" t="s">
        <v>29</v>
      </c>
      <c r="J968">
        <v>0.24</v>
      </c>
      <c r="K968" t="s">
        <v>30</v>
      </c>
      <c r="L968" t="s">
        <v>21</v>
      </c>
      <c r="M968" t="s">
        <v>49</v>
      </c>
      <c r="N968">
        <f>sales_data_1[[#This Row],[Unit_Price]]-sales_data_1[[#This Row],[Unit_Cost]]</f>
        <v>260.56000000000006</v>
      </c>
      <c r="O968">
        <f>sales_data_1[[#This Row],[Unit_Price]]*sales_data_1[[#This Row],[Quantity_Sold]]</f>
        <v>4460.96</v>
      </c>
      <c r="P968">
        <f>sales_data_1[[#This Row],[Unit - cost]]*sales_data_1[[#This Row],[Quantity_Sold]]</f>
        <v>1042.2400000000002</v>
      </c>
    </row>
    <row r="969" spans="1:16" x14ac:dyDescent="0.3">
      <c r="A969">
        <v>1059</v>
      </c>
      <c r="B969" s="1">
        <v>45238</v>
      </c>
      <c r="C969" t="s">
        <v>23</v>
      </c>
      <c r="D969" t="s">
        <v>24</v>
      </c>
      <c r="E969">
        <v>17</v>
      </c>
      <c r="F969" t="s">
        <v>28</v>
      </c>
      <c r="G969">
        <v>1780.14</v>
      </c>
      <c r="H969">
        <v>2185.42</v>
      </c>
      <c r="I969" t="s">
        <v>16</v>
      </c>
      <c r="J969">
        <v>0.15</v>
      </c>
      <c r="K969" t="s">
        <v>30</v>
      </c>
      <c r="L969" t="s">
        <v>21</v>
      </c>
      <c r="M969" t="s">
        <v>27</v>
      </c>
      <c r="N969">
        <f>sales_data_1[[#This Row],[Unit_Price]]-sales_data_1[[#This Row],[Unit_Cost]]</f>
        <v>405.28</v>
      </c>
      <c r="O969">
        <f>sales_data_1[[#This Row],[Unit_Price]]*sales_data_1[[#This Row],[Quantity_Sold]]</f>
        <v>37152.14</v>
      </c>
      <c r="P969">
        <f>sales_data_1[[#This Row],[Unit - cost]]*sales_data_1[[#This Row],[Quantity_Sold]]</f>
        <v>6889.7599999999993</v>
      </c>
    </row>
    <row r="970" spans="1:16" x14ac:dyDescent="0.3">
      <c r="A970">
        <v>1056</v>
      </c>
      <c r="B970" s="1">
        <v>45287</v>
      </c>
      <c r="C970" t="s">
        <v>13</v>
      </c>
      <c r="D970" t="s">
        <v>33</v>
      </c>
      <c r="E970">
        <v>4</v>
      </c>
      <c r="F970" t="s">
        <v>25</v>
      </c>
      <c r="G970">
        <v>1612.82</v>
      </c>
      <c r="H970">
        <v>1647.25</v>
      </c>
      <c r="I970" t="s">
        <v>16</v>
      </c>
      <c r="J970">
        <v>0.04</v>
      </c>
      <c r="K970" t="s">
        <v>30</v>
      </c>
      <c r="L970" t="s">
        <v>21</v>
      </c>
      <c r="M970" t="s">
        <v>45</v>
      </c>
      <c r="N970">
        <f>sales_data_1[[#This Row],[Unit_Price]]-sales_data_1[[#This Row],[Unit_Cost]]</f>
        <v>34.430000000000064</v>
      </c>
      <c r="O970">
        <f>sales_data_1[[#This Row],[Unit_Price]]*sales_data_1[[#This Row],[Quantity_Sold]]</f>
        <v>6589</v>
      </c>
      <c r="P970">
        <f>sales_data_1[[#This Row],[Unit - cost]]*sales_data_1[[#This Row],[Quantity_Sold]]</f>
        <v>137.72000000000025</v>
      </c>
    </row>
    <row r="971" spans="1:16" x14ac:dyDescent="0.3">
      <c r="A971">
        <v>1007</v>
      </c>
      <c r="B971" s="1">
        <v>44985</v>
      </c>
      <c r="C971" t="s">
        <v>32</v>
      </c>
      <c r="D971" t="s">
        <v>33</v>
      </c>
      <c r="E971">
        <v>43</v>
      </c>
      <c r="F971" t="s">
        <v>15</v>
      </c>
      <c r="G971">
        <v>3967.25</v>
      </c>
      <c r="H971">
        <v>4272.92</v>
      </c>
      <c r="I971" t="s">
        <v>29</v>
      </c>
      <c r="J971">
        <v>0.27</v>
      </c>
      <c r="K971" t="s">
        <v>30</v>
      </c>
      <c r="L971" t="s">
        <v>18</v>
      </c>
      <c r="M971" t="s">
        <v>35</v>
      </c>
      <c r="N971">
        <f>sales_data_1[[#This Row],[Unit_Price]]-sales_data_1[[#This Row],[Unit_Cost]]</f>
        <v>305.67000000000007</v>
      </c>
      <c r="O971">
        <f>sales_data_1[[#This Row],[Unit_Price]]*sales_data_1[[#This Row],[Quantity_Sold]]</f>
        <v>183735.56</v>
      </c>
      <c r="P971">
        <f>sales_data_1[[#This Row],[Unit - cost]]*sales_data_1[[#This Row],[Quantity_Sold]]</f>
        <v>13143.810000000003</v>
      </c>
    </row>
    <row r="972" spans="1:16" x14ac:dyDescent="0.3">
      <c r="A972">
        <v>1003</v>
      </c>
      <c r="B972" s="1">
        <v>45057</v>
      </c>
      <c r="C972" t="s">
        <v>32</v>
      </c>
      <c r="D972" t="s">
        <v>14</v>
      </c>
      <c r="E972">
        <v>26</v>
      </c>
      <c r="F972" t="s">
        <v>34</v>
      </c>
      <c r="G972">
        <v>3418.78</v>
      </c>
      <c r="H972">
        <v>3824.1000000000004</v>
      </c>
      <c r="I972" t="s">
        <v>29</v>
      </c>
      <c r="J972">
        <v>0.19</v>
      </c>
      <c r="K972" t="s">
        <v>30</v>
      </c>
      <c r="L972" t="s">
        <v>18</v>
      </c>
      <c r="M972" t="s">
        <v>52</v>
      </c>
      <c r="N972">
        <f>sales_data_1[[#This Row],[Unit_Price]]-sales_data_1[[#This Row],[Unit_Cost]]</f>
        <v>405.32000000000016</v>
      </c>
      <c r="O972">
        <f>sales_data_1[[#This Row],[Unit_Price]]*sales_data_1[[#This Row],[Quantity_Sold]]</f>
        <v>99426.6</v>
      </c>
      <c r="P972">
        <f>sales_data_1[[#This Row],[Unit - cost]]*sales_data_1[[#This Row],[Quantity_Sold]]</f>
        <v>10538.320000000003</v>
      </c>
    </row>
    <row r="973" spans="1:16" x14ac:dyDescent="0.3">
      <c r="A973">
        <v>1023</v>
      </c>
      <c r="B973" s="1">
        <v>45128</v>
      </c>
      <c r="C973" t="s">
        <v>37</v>
      </c>
      <c r="D973" t="s">
        <v>14</v>
      </c>
      <c r="E973">
        <v>4</v>
      </c>
      <c r="F973" t="s">
        <v>28</v>
      </c>
      <c r="G973">
        <v>1532.8</v>
      </c>
      <c r="H973">
        <v>1619.69</v>
      </c>
      <c r="I973" t="s">
        <v>16</v>
      </c>
      <c r="J973">
        <v>0.05</v>
      </c>
      <c r="K973" t="s">
        <v>26</v>
      </c>
      <c r="L973" t="s">
        <v>21</v>
      </c>
      <c r="M973" t="s">
        <v>39</v>
      </c>
      <c r="N973">
        <f>sales_data_1[[#This Row],[Unit_Price]]-sales_data_1[[#This Row],[Unit_Cost]]</f>
        <v>86.8900000000001</v>
      </c>
      <c r="O973">
        <f>sales_data_1[[#This Row],[Unit_Price]]*sales_data_1[[#This Row],[Quantity_Sold]]</f>
        <v>6478.76</v>
      </c>
      <c r="P973">
        <f>sales_data_1[[#This Row],[Unit - cost]]*sales_data_1[[#This Row],[Quantity_Sold]]</f>
        <v>347.5600000000004</v>
      </c>
    </row>
    <row r="974" spans="1:16" x14ac:dyDescent="0.3">
      <c r="A974">
        <v>1018</v>
      </c>
      <c r="B974" s="1">
        <v>45169</v>
      </c>
      <c r="C974" t="s">
        <v>41</v>
      </c>
      <c r="D974" t="s">
        <v>33</v>
      </c>
      <c r="E974">
        <v>1</v>
      </c>
      <c r="F974" t="s">
        <v>34</v>
      </c>
      <c r="G974">
        <v>2315.83</v>
      </c>
      <c r="H974">
        <v>2333.19</v>
      </c>
      <c r="I974" t="s">
        <v>29</v>
      </c>
      <c r="J974">
        <v>0.01</v>
      </c>
      <c r="K974" t="s">
        <v>17</v>
      </c>
      <c r="L974" t="s">
        <v>21</v>
      </c>
      <c r="M974" t="s">
        <v>51</v>
      </c>
      <c r="N974">
        <f>sales_data_1[[#This Row],[Unit_Price]]-sales_data_1[[#This Row],[Unit_Cost]]</f>
        <v>17.360000000000127</v>
      </c>
      <c r="O974">
        <f>sales_data_1[[#This Row],[Unit_Price]]*sales_data_1[[#This Row],[Quantity_Sold]]</f>
        <v>2333.19</v>
      </c>
      <c r="P974">
        <f>sales_data_1[[#This Row],[Unit - cost]]*sales_data_1[[#This Row],[Quantity_Sold]]</f>
        <v>17.360000000000127</v>
      </c>
    </row>
    <row r="975" spans="1:16" x14ac:dyDescent="0.3">
      <c r="A975">
        <v>1038</v>
      </c>
      <c r="B975" s="1">
        <v>44961</v>
      </c>
      <c r="C975" t="s">
        <v>32</v>
      </c>
      <c r="D975" t="s">
        <v>14</v>
      </c>
      <c r="E975">
        <v>7</v>
      </c>
      <c r="F975" t="s">
        <v>15</v>
      </c>
      <c r="G975">
        <v>523.02</v>
      </c>
      <c r="H975">
        <v>686.25</v>
      </c>
      <c r="I975" t="s">
        <v>16</v>
      </c>
      <c r="J975">
        <v>0.04</v>
      </c>
      <c r="K975" t="s">
        <v>17</v>
      </c>
      <c r="L975" t="s">
        <v>18</v>
      </c>
      <c r="M975" t="s">
        <v>52</v>
      </c>
      <c r="N975">
        <f>sales_data_1[[#This Row],[Unit_Price]]-sales_data_1[[#This Row],[Unit_Cost]]</f>
        <v>163.23000000000002</v>
      </c>
      <c r="O975">
        <f>sales_data_1[[#This Row],[Unit_Price]]*sales_data_1[[#This Row],[Quantity_Sold]]</f>
        <v>4803.75</v>
      </c>
      <c r="P975">
        <f>sales_data_1[[#This Row],[Unit - cost]]*sales_data_1[[#This Row],[Quantity_Sold]]</f>
        <v>1142.6100000000001</v>
      </c>
    </row>
    <row r="976" spans="1:16" x14ac:dyDescent="0.3">
      <c r="A976">
        <v>1099</v>
      </c>
      <c r="B976" s="1">
        <v>45019</v>
      </c>
      <c r="C976" t="s">
        <v>41</v>
      </c>
      <c r="D976" t="s">
        <v>14</v>
      </c>
      <c r="E976">
        <v>30</v>
      </c>
      <c r="F976" t="s">
        <v>15</v>
      </c>
      <c r="G976">
        <v>4495.82</v>
      </c>
      <c r="H976">
        <v>4794.0099999999993</v>
      </c>
      <c r="I976" t="s">
        <v>29</v>
      </c>
      <c r="J976">
        <v>0.18</v>
      </c>
      <c r="K976" t="s">
        <v>26</v>
      </c>
      <c r="L976" t="s">
        <v>21</v>
      </c>
      <c r="M976" t="s">
        <v>48</v>
      </c>
      <c r="N976">
        <f>sales_data_1[[#This Row],[Unit_Price]]-sales_data_1[[#This Row],[Unit_Cost]]</f>
        <v>298.1899999999996</v>
      </c>
      <c r="O976">
        <f>sales_data_1[[#This Row],[Unit_Price]]*sales_data_1[[#This Row],[Quantity_Sold]]</f>
        <v>143820.29999999999</v>
      </c>
      <c r="P976">
        <f>sales_data_1[[#This Row],[Unit - cost]]*sales_data_1[[#This Row],[Quantity_Sold]]</f>
        <v>8945.699999999988</v>
      </c>
    </row>
    <row r="977" spans="1:16" x14ac:dyDescent="0.3">
      <c r="A977">
        <v>1015</v>
      </c>
      <c r="B977" s="1">
        <v>45133</v>
      </c>
      <c r="C977" t="s">
        <v>23</v>
      </c>
      <c r="D977" t="s">
        <v>14</v>
      </c>
      <c r="E977">
        <v>9</v>
      </c>
      <c r="F977" t="s">
        <v>34</v>
      </c>
      <c r="G977">
        <v>4680.3500000000004</v>
      </c>
      <c r="H977">
        <v>4758.1100000000006</v>
      </c>
      <c r="I977" t="s">
        <v>16</v>
      </c>
      <c r="J977">
        <v>0.05</v>
      </c>
      <c r="K977" t="s">
        <v>26</v>
      </c>
      <c r="L977" t="s">
        <v>18</v>
      </c>
      <c r="M977" t="s">
        <v>44</v>
      </c>
      <c r="N977">
        <f>sales_data_1[[#This Row],[Unit_Price]]-sales_data_1[[#This Row],[Unit_Cost]]</f>
        <v>77.760000000000218</v>
      </c>
      <c r="O977">
        <f>sales_data_1[[#This Row],[Unit_Price]]*sales_data_1[[#This Row],[Quantity_Sold]]</f>
        <v>42822.990000000005</v>
      </c>
      <c r="P977">
        <f>sales_data_1[[#This Row],[Unit - cost]]*sales_data_1[[#This Row],[Quantity_Sold]]</f>
        <v>699.84000000000196</v>
      </c>
    </row>
    <row r="978" spans="1:16" x14ac:dyDescent="0.3">
      <c r="A978">
        <v>1064</v>
      </c>
      <c r="B978" s="1">
        <v>45279</v>
      </c>
      <c r="C978" t="s">
        <v>41</v>
      </c>
      <c r="D978" t="s">
        <v>20</v>
      </c>
      <c r="E978">
        <v>35</v>
      </c>
      <c r="F978" t="s">
        <v>28</v>
      </c>
      <c r="G978">
        <v>4900.03</v>
      </c>
      <c r="H978">
        <v>5118.83</v>
      </c>
      <c r="I978" t="s">
        <v>16</v>
      </c>
      <c r="J978">
        <v>7.0000000000000007E-2</v>
      </c>
      <c r="K978" t="s">
        <v>30</v>
      </c>
      <c r="L978" t="s">
        <v>21</v>
      </c>
      <c r="M978" t="s">
        <v>50</v>
      </c>
      <c r="N978">
        <f>sales_data_1[[#This Row],[Unit_Price]]-sales_data_1[[#This Row],[Unit_Cost]]</f>
        <v>218.80000000000018</v>
      </c>
      <c r="O978">
        <f>sales_data_1[[#This Row],[Unit_Price]]*sales_data_1[[#This Row],[Quantity_Sold]]</f>
        <v>179159.05</v>
      </c>
      <c r="P978">
        <f>sales_data_1[[#This Row],[Unit - cost]]*sales_data_1[[#This Row],[Quantity_Sold]]</f>
        <v>7658.0000000000064</v>
      </c>
    </row>
    <row r="979" spans="1:16" x14ac:dyDescent="0.3">
      <c r="A979">
        <v>1089</v>
      </c>
      <c r="B979" s="1">
        <v>45258</v>
      </c>
      <c r="C979" t="s">
        <v>23</v>
      </c>
      <c r="D979" t="s">
        <v>20</v>
      </c>
      <c r="E979">
        <v>8</v>
      </c>
      <c r="F979" t="s">
        <v>15</v>
      </c>
      <c r="G979">
        <v>4349.34</v>
      </c>
      <c r="H979">
        <v>4629.9800000000005</v>
      </c>
      <c r="I979" t="s">
        <v>16</v>
      </c>
      <c r="J979">
        <v>0.01</v>
      </c>
      <c r="K979" t="s">
        <v>30</v>
      </c>
      <c r="L979" t="s">
        <v>18</v>
      </c>
      <c r="M979" t="s">
        <v>46</v>
      </c>
      <c r="N979">
        <f>sales_data_1[[#This Row],[Unit_Price]]-sales_data_1[[#This Row],[Unit_Cost]]</f>
        <v>280.64000000000033</v>
      </c>
      <c r="O979">
        <f>sales_data_1[[#This Row],[Unit_Price]]*sales_data_1[[#This Row],[Quantity_Sold]]</f>
        <v>37039.840000000004</v>
      </c>
      <c r="P979">
        <f>sales_data_1[[#This Row],[Unit - cost]]*sales_data_1[[#This Row],[Quantity_Sold]]</f>
        <v>2245.1200000000026</v>
      </c>
    </row>
    <row r="980" spans="1:16" x14ac:dyDescent="0.3">
      <c r="A980">
        <v>1028</v>
      </c>
      <c r="B980" s="1">
        <v>45231</v>
      </c>
      <c r="C980" t="s">
        <v>13</v>
      </c>
      <c r="D980" t="s">
        <v>33</v>
      </c>
      <c r="E980">
        <v>24</v>
      </c>
      <c r="F980" t="s">
        <v>25</v>
      </c>
      <c r="G980">
        <v>911.11</v>
      </c>
      <c r="H980">
        <v>1214.56</v>
      </c>
      <c r="I980" t="s">
        <v>29</v>
      </c>
      <c r="J980">
        <v>0.22</v>
      </c>
      <c r="K980" t="s">
        <v>26</v>
      </c>
      <c r="L980" t="s">
        <v>18</v>
      </c>
      <c r="M980" t="s">
        <v>45</v>
      </c>
      <c r="N980">
        <f>sales_data_1[[#This Row],[Unit_Price]]-sales_data_1[[#This Row],[Unit_Cost]]</f>
        <v>303.44999999999993</v>
      </c>
      <c r="O980">
        <f>sales_data_1[[#This Row],[Unit_Price]]*sales_data_1[[#This Row],[Quantity_Sold]]</f>
        <v>29149.439999999999</v>
      </c>
      <c r="P980">
        <f>sales_data_1[[#This Row],[Unit - cost]]*sales_data_1[[#This Row],[Quantity_Sold]]</f>
        <v>7282.7999999999984</v>
      </c>
    </row>
    <row r="981" spans="1:16" x14ac:dyDescent="0.3">
      <c r="A981">
        <v>1074</v>
      </c>
      <c r="B981" s="1">
        <v>45276</v>
      </c>
      <c r="C981" t="s">
        <v>13</v>
      </c>
      <c r="D981" t="s">
        <v>14</v>
      </c>
      <c r="E981">
        <v>19</v>
      </c>
      <c r="F981" t="s">
        <v>15</v>
      </c>
      <c r="G981">
        <v>278.67</v>
      </c>
      <c r="H981">
        <v>423.13</v>
      </c>
      <c r="I981" t="s">
        <v>29</v>
      </c>
      <c r="J981">
        <v>0.24</v>
      </c>
      <c r="K981" t="s">
        <v>30</v>
      </c>
      <c r="L981" t="s">
        <v>18</v>
      </c>
      <c r="M981" t="s">
        <v>19</v>
      </c>
      <c r="N981">
        <f>sales_data_1[[#This Row],[Unit_Price]]-sales_data_1[[#This Row],[Unit_Cost]]</f>
        <v>144.45999999999998</v>
      </c>
      <c r="O981">
        <f>sales_data_1[[#This Row],[Unit_Price]]*sales_data_1[[#This Row],[Quantity_Sold]]</f>
        <v>8039.47</v>
      </c>
      <c r="P981">
        <f>sales_data_1[[#This Row],[Unit - cost]]*sales_data_1[[#This Row],[Quantity_Sold]]</f>
        <v>2744.74</v>
      </c>
    </row>
    <row r="982" spans="1:16" x14ac:dyDescent="0.3">
      <c r="A982">
        <v>1039</v>
      </c>
      <c r="B982" s="1">
        <v>45139</v>
      </c>
      <c r="C982" t="s">
        <v>37</v>
      </c>
      <c r="D982" t="s">
        <v>20</v>
      </c>
      <c r="E982">
        <v>36</v>
      </c>
      <c r="F982" t="s">
        <v>28</v>
      </c>
      <c r="G982">
        <v>2919</v>
      </c>
      <c r="H982">
        <v>3125.01</v>
      </c>
      <c r="I982" t="s">
        <v>29</v>
      </c>
      <c r="J982">
        <v>0.24</v>
      </c>
      <c r="K982" t="s">
        <v>17</v>
      </c>
      <c r="L982" t="s">
        <v>18</v>
      </c>
      <c r="M982" t="s">
        <v>40</v>
      </c>
      <c r="N982">
        <f>sales_data_1[[#This Row],[Unit_Price]]-sales_data_1[[#This Row],[Unit_Cost]]</f>
        <v>206.01000000000022</v>
      </c>
      <c r="O982">
        <f>sales_data_1[[#This Row],[Unit_Price]]*sales_data_1[[#This Row],[Quantity_Sold]]</f>
        <v>112500.36000000002</v>
      </c>
      <c r="P982">
        <f>sales_data_1[[#This Row],[Unit - cost]]*sales_data_1[[#This Row],[Quantity_Sold]]</f>
        <v>7416.3600000000079</v>
      </c>
    </row>
    <row r="983" spans="1:16" x14ac:dyDescent="0.3">
      <c r="A983">
        <v>1057</v>
      </c>
      <c r="B983" s="1">
        <v>45085</v>
      </c>
      <c r="C983" t="s">
        <v>32</v>
      </c>
      <c r="D983" t="s">
        <v>33</v>
      </c>
      <c r="E983">
        <v>43</v>
      </c>
      <c r="F983" t="s">
        <v>15</v>
      </c>
      <c r="G983">
        <v>4567.3900000000003</v>
      </c>
      <c r="H983">
        <v>4958.7800000000007</v>
      </c>
      <c r="I983" t="s">
        <v>29</v>
      </c>
      <c r="J983">
        <v>0.04</v>
      </c>
      <c r="K983" t="s">
        <v>17</v>
      </c>
      <c r="L983" t="s">
        <v>21</v>
      </c>
      <c r="M983" t="s">
        <v>35</v>
      </c>
      <c r="N983">
        <f>sales_data_1[[#This Row],[Unit_Price]]-sales_data_1[[#This Row],[Unit_Cost]]</f>
        <v>391.39000000000033</v>
      </c>
      <c r="O983">
        <f>sales_data_1[[#This Row],[Unit_Price]]*sales_data_1[[#This Row],[Quantity_Sold]]</f>
        <v>213227.54000000004</v>
      </c>
      <c r="P983">
        <f>sales_data_1[[#This Row],[Unit - cost]]*sales_data_1[[#This Row],[Quantity_Sold]]</f>
        <v>16829.770000000015</v>
      </c>
    </row>
    <row r="984" spans="1:16" x14ac:dyDescent="0.3">
      <c r="A984">
        <v>1017</v>
      </c>
      <c r="B984" s="1">
        <v>44950</v>
      </c>
      <c r="C984" t="s">
        <v>37</v>
      </c>
      <c r="D984" t="s">
        <v>14</v>
      </c>
      <c r="E984">
        <v>27</v>
      </c>
      <c r="F984" t="s">
        <v>34</v>
      </c>
      <c r="G984">
        <v>927.89</v>
      </c>
      <c r="H984">
        <v>1399.09</v>
      </c>
      <c r="I984" t="s">
        <v>16</v>
      </c>
      <c r="J984">
        <v>0.27</v>
      </c>
      <c r="K984" t="s">
        <v>30</v>
      </c>
      <c r="L984" t="s">
        <v>18</v>
      </c>
      <c r="M984" t="s">
        <v>39</v>
      </c>
      <c r="N984">
        <f>sales_data_1[[#This Row],[Unit_Price]]-sales_data_1[[#This Row],[Unit_Cost]]</f>
        <v>471.19999999999993</v>
      </c>
      <c r="O984">
        <f>sales_data_1[[#This Row],[Unit_Price]]*sales_data_1[[#This Row],[Quantity_Sold]]</f>
        <v>37775.43</v>
      </c>
      <c r="P984">
        <f>sales_data_1[[#This Row],[Unit - cost]]*sales_data_1[[#This Row],[Quantity_Sold]]</f>
        <v>12722.399999999998</v>
      </c>
    </row>
    <row r="985" spans="1:16" x14ac:dyDescent="0.3">
      <c r="A985">
        <v>1086</v>
      </c>
      <c r="B985" s="1">
        <v>45219</v>
      </c>
      <c r="C985" t="s">
        <v>23</v>
      </c>
      <c r="D985" t="s">
        <v>24</v>
      </c>
      <c r="E985">
        <v>32</v>
      </c>
      <c r="F985" t="s">
        <v>15</v>
      </c>
      <c r="G985">
        <v>84.86</v>
      </c>
      <c r="H985">
        <v>517.17999999999995</v>
      </c>
      <c r="I985" t="s">
        <v>16</v>
      </c>
      <c r="J985">
        <v>0.2</v>
      </c>
      <c r="K985" t="s">
        <v>30</v>
      </c>
      <c r="L985" t="s">
        <v>21</v>
      </c>
      <c r="M985" t="s">
        <v>27</v>
      </c>
      <c r="N985">
        <f>sales_data_1[[#This Row],[Unit_Price]]-sales_data_1[[#This Row],[Unit_Cost]]</f>
        <v>432.31999999999994</v>
      </c>
      <c r="O985">
        <f>sales_data_1[[#This Row],[Unit_Price]]*sales_data_1[[#This Row],[Quantity_Sold]]</f>
        <v>16549.759999999998</v>
      </c>
      <c r="P985">
        <f>sales_data_1[[#This Row],[Unit - cost]]*sales_data_1[[#This Row],[Quantity_Sold]]</f>
        <v>13834.239999999998</v>
      </c>
    </row>
    <row r="986" spans="1:16" x14ac:dyDescent="0.3">
      <c r="A986">
        <v>1090</v>
      </c>
      <c r="B986" s="1">
        <v>44930</v>
      </c>
      <c r="C986" t="s">
        <v>37</v>
      </c>
      <c r="D986" t="s">
        <v>14</v>
      </c>
      <c r="E986">
        <v>14</v>
      </c>
      <c r="F986" t="s">
        <v>15</v>
      </c>
      <c r="G986">
        <v>4037.21</v>
      </c>
      <c r="H986">
        <v>4323.71</v>
      </c>
      <c r="I986" t="s">
        <v>16</v>
      </c>
      <c r="J986">
        <v>0.27</v>
      </c>
      <c r="K986" t="s">
        <v>30</v>
      </c>
      <c r="L986" t="s">
        <v>18</v>
      </c>
      <c r="M986" t="s">
        <v>39</v>
      </c>
      <c r="N986">
        <f>sales_data_1[[#This Row],[Unit_Price]]-sales_data_1[[#This Row],[Unit_Cost]]</f>
        <v>286.5</v>
      </c>
      <c r="O986">
        <f>sales_data_1[[#This Row],[Unit_Price]]*sales_data_1[[#This Row],[Quantity_Sold]]</f>
        <v>60531.94</v>
      </c>
      <c r="P986">
        <f>sales_data_1[[#This Row],[Unit - cost]]*sales_data_1[[#This Row],[Quantity_Sold]]</f>
        <v>4011</v>
      </c>
    </row>
    <row r="987" spans="1:16" x14ac:dyDescent="0.3">
      <c r="A987">
        <v>1044</v>
      </c>
      <c r="B987" s="1">
        <v>45146</v>
      </c>
      <c r="C987" t="s">
        <v>41</v>
      </c>
      <c r="D987" t="s">
        <v>14</v>
      </c>
      <c r="E987">
        <v>18</v>
      </c>
      <c r="F987" t="s">
        <v>28</v>
      </c>
      <c r="G987">
        <v>430.14</v>
      </c>
      <c r="H987">
        <v>641.17999999999995</v>
      </c>
      <c r="I987" t="s">
        <v>29</v>
      </c>
      <c r="J987">
        <v>0.13</v>
      </c>
      <c r="K987" t="s">
        <v>17</v>
      </c>
      <c r="L987" t="s">
        <v>18</v>
      </c>
      <c r="M987" t="s">
        <v>48</v>
      </c>
      <c r="N987">
        <f>sales_data_1[[#This Row],[Unit_Price]]-sales_data_1[[#This Row],[Unit_Cost]]</f>
        <v>211.03999999999996</v>
      </c>
      <c r="O987">
        <f>sales_data_1[[#This Row],[Unit_Price]]*sales_data_1[[#This Row],[Quantity_Sold]]</f>
        <v>11541.24</v>
      </c>
      <c r="P987">
        <f>sales_data_1[[#This Row],[Unit - cost]]*sales_data_1[[#This Row],[Quantity_Sold]]</f>
        <v>3798.7199999999993</v>
      </c>
    </row>
    <row r="988" spans="1:16" x14ac:dyDescent="0.3">
      <c r="A988">
        <v>1025</v>
      </c>
      <c r="B988" s="1">
        <v>45290</v>
      </c>
      <c r="C988" t="s">
        <v>23</v>
      </c>
      <c r="D988" t="s">
        <v>20</v>
      </c>
      <c r="E988">
        <v>28</v>
      </c>
      <c r="F988" t="s">
        <v>34</v>
      </c>
      <c r="G988">
        <v>2097.84</v>
      </c>
      <c r="H988">
        <v>2270.9900000000002</v>
      </c>
      <c r="I988" t="s">
        <v>29</v>
      </c>
      <c r="J988">
        <v>0.13</v>
      </c>
      <c r="K988" t="s">
        <v>30</v>
      </c>
      <c r="L988" t="s">
        <v>21</v>
      </c>
      <c r="M988" t="s">
        <v>46</v>
      </c>
      <c r="N988">
        <f>sales_data_1[[#This Row],[Unit_Price]]-sales_data_1[[#This Row],[Unit_Cost]]</f>
        <v>173.15000000000009</v>
      </c>
      <c r="O988">
        <f>sales_data_1[[#This Row],[Unit_Price]]*sales_data_1[[#This Row],[Quantity_Sold]]</f>
        <v>63587.720000000008</v>
      </c>
      <c r="P988">
        <f>sales_data_1[[#This Row],[Unit - cost]]*sales_data_1[[#This Row],[Quantity_Sold]]</f>
        <v>4848.2000000000025</v>
      </c>
    </row>
    <row r="989" spans="1:16" x14ac:dyDescent="0.3">
      <c r="A989">
        <v>1017</v>
      </c>
      <c r="B989" s="1">
        <v>44946</v>
      </c>
      <c r="C989" t="s">
        <v>13</v>
      </c>
      <c r="D989" t="s">
        <v>33</v>
      </c>
      <c r="E989">
        <v>29</v>
      </c>
      <c r="F989" t="s">
        <v>28</v>
      </c>
      <c r="G989">
        <v>3410.49</v>
      </c>
      <c r="H989">
        <v>3481.72</v>
      </c>
      <c r="I989" t="s">
        <v>29</v>
      </c>
      <c r="J989">
        <v>0.24</v>
      </c>
      <c r="K989" t="s">
        <v>26</v>
      </c>
      <c r="L989" t="s">
        <v>21</v>
      </c>
      <c r="M989" t="s">
        <v>45</v>
      </c>
      <c r="N989">
        <f>sales_data_1[[#This Row],[Unit_Price]]-sales_data_1[[#This Row],[Unit_Cost]]</f>
        <v>71.230000000000018</v>
      </c>
      <c r="O989">
        <f>sales_data_1[[#This Row],[Unit_Price]]*sales_data_1[[#This Row],[Quantity_Sold]]</f>
        <v>100969.87999999999</v>
      </c>
      <c r="P989">
        <f>sales_data_1[[#This Row],[Unit - cost]]*sales_data_1[[#This Row],[Quantity_Sold]]</f>
        <v>2065.6700000000005</v>
      </c>
    </row>
    <row r="990" spans="1:16" x14ac:dyDescent="0.3">
      <c r="A990">
        <v>1013</v>
      </c>
      <c r="B990" s="1">
        <v>45078</v>
      </c>
      <c r="C990" t="s">
        <v>32</v>
      </c>
      <c r="D990" t="s">
        <v>33</v>
      </c>
      <c r="E990">
        <v>16</v>
      </c>
      <c r="F990" t="s">
        <v>15</v>
      </c>
      <c r="G990">
        <v>1222.1500000000001</v>
      </c>
      <c r="H990">
        <v>1284.3600000000001</v>
      </c>
      <c r="I990" t="s">
        <v>16</v>
      </c>
      <c r="J990">
        <v>0.03</v>
      </c>
      <c r="K990" t="s">
        <v>30</v>
      </c>
      <c r="L990" t="s">
        <v>21</v>
      </c>
      <c r="M990" t="s">
        <v>35</v>
      </c>
      <c r="N990">
        <f>sales_data_1[[#This Row],[Unit_Price]]-sales_data_1[[#This Row],[Unit_Cost]]</f>
        <v>62.210000000000036</v>
      </c>
      <c r="O990">
        <f>sales_data_1[[#This Row],[Unit_Price]]*sales_data_1[[#This Row],[Quantity_Sold]]</f>
        <v>20549.760000000002</v>
      </c>
      <c r="P990">
        <f>sales_data_1[[#This Row],[Unit - cost]]*sales_data_1[[#This Row],[Quantity_Sold]]</f>
        <v>995.36000000000058</v>
      </c>
    </row>
    <row r="991" spans="1:16" x14ac:dyDescent="0.3">
      <c r="A991">
        <v>1084</v>
      </c>
      <c r="B991" s="1">
        <v>44976</v>
      </c>
      <c r="C991" t="s">
        <v>23</v>
      </c>
      <c r="D991" t="s">
        <v>20</v>
      </c>
      <c r="E991">
        <v>35</v>
      </c>
      <c r="F991" t="s">
        <v>25</v>
      </c>
      <c r="G991">
        <v>465.61</v>
      </c>
      <c r="H991">
        <v>812.91000000000008</v>
      </c>
      <c r="I991" t="s">
        <v>29</v>
      </c>
      <c r="J991">
        <v>0.16</v>
      </c>
      <c r="K991" t="s">
        <v>26</v>
      </c>
      <c r="L991" t="s">
        <v>18</v>
      </c>
      <c r="M991" t="s">
        <v>46</v>
      </c>
      <c r="N991">
        <f>sales_data_1[[#This Row],[Unit_Price]]-sales_data_1[[#This Row],[Unit_Cost]]</f>
        <v>347.30000000000007</v>
      </c>
      <c r="O991">
        <f>sales_data_1[[#This Row],[Unit_Price]]*sales_data_1[[#This Row],[Quantity_Sold]]</f>
        <v>28451.850000000002</v>
      </c>
      <c r="P991">
        <f>sales_data_1[[#This Row],[Unit - cost]]*sales_data_1[[#This Row],[Quantity_Sold]]</f>
        <v>12155.500000000002</v>
      </c>
    </row>
    <row r="992" spans="1:16" x14ac:dyDescent="0.3">
      <c r="A992">
        <v>1025</v>
      </c>
      <c r="B992" s="1">
        <v>45103</v>
      </c>
      <c r="C992" t="s">
        <v>23</v>
      </c>
      <c r="D992" t="s">
        <v>14</v>
      </c>
      <c r="E992">
        <v>47</v>
      </c>
      <c r="F992" t="s">
        <v>15</v>
      </c>
      <c r="G992">
        <v>3861.61</v>
      </c>
      <c r="H992">
        <v>3998.9100000000003</v>
      </c>
      <c r="I992" t="s">
        <v>29</v>
      </c>
      <c r="J992">
        <v>0.25</v>
      </c>
      <c r="K992" t="s">
        <v>30</v>
      </c>
      <c r="L992" t="s">
        <v>18</v>
      </c>
      <c r="M992" t="s">
        <v>44</v>
      </c>
      <c r="N992">
        <f>sales_data_1[[#This Row],[Unit_Price]]-sales_data_1[[#This Row],[Unit_Cost]]</f>
        <v>137.30000000000018</v>
      </c>
      <c r="O992">
        <f>sales_data_1[[#This Row],[Unit_Price]]*sales_data_1[[#This Row],[Quantity_Sold]]</f>
        <v>187948.77000000002</v>
      </c>
      <c r="P992">
        <f>sales_data_1[[#This Row],[Unit - cost]]*sales_data_1[[#This Row],[Quantity_Sold]]</f>
        <v>6453.1000000000085</v>
      </c>
    </row>
    <row r="993" spans="1:16" x14ac:dyDescent="0.3">
      <c r="A993">
        <v>1068</v>
      </c>
      <c r="B993" s="1">
        <v>45022</v>
      </c>
      <c r="C993" t="s">
        <v>41</v>
      </c>
      <c r="D993" t="s">
        <v>24</v>
      </c>
      <c r="E993">
        <v>31</v>
      </c>
      <c r="F993" t="s">
        <v>28</v>
      </c>
      <c r="G993">
        <v>3169.37</v>
      </c>
      <c r="H993">
        <v>3304.15</v>
      </c>
      <c r="I993" t="s">
        <v>16</v>
      </c>
      <c r="J993">
        <v>0.25</v>
      </c>
      <c r="K993" t="s">
        <v>30</v>
      </c>
      <c r="L993" t="s">
        <v>21</v>
      </c>
      <c r="M993" t="s">
        <v>42</v>
      </c>
      <c r="N993">
        <f>sales_data_1[[#This Row],[Unit_Price]]-sales_data_1[[#This Row],[Unit_Cost]]</f>
        <v>134.7800000000002</v>
      </c>
      <c r="O993">
        <f>sales_data_1[[#This Row],[Unit_Price]]*sales_data_1[[#This Row],[Quantity_Sold]]</f>
        <v>102428.65000000001</v>
      </c>
      <c r="P993">
        <f>sales_data_1[[#This Row],[Unit - cost]]*sales_data_1[[#This Row],[Quantity_Sold]]</f>
        <v>4178.1800000000057</v>
      </c>
    </row>
    <row r="994" spans="1:16" x14ac:dyDescent="0.3">
      <c r="A994">
        <v>1010</v>
      </c>
      <c r="B994" s="1">
        <v>45031</v>
      </c>
      <c r="C994" t="s">
        <v>32</v>
      </c>
      <c r="D994" t="s">
        <v>14</v>
      </c>
      <c r="E994">
        <v>4</v>
      </c>
      <c r="F994" t="s">
        <v>25</v>
      </c>
      <c r="G994">
        <v>4943.03</v>
      </c>
      <c r="H994">
        <v>5442.15</v>
      </c>
      <c r="I994" t="s">
        <v>16</v>
      </c>
      <c r="J994">
        <v>0.28999999999999998</v>
      </c>
      <c r="K994" t="s">
        <v>17</v>
      </c>
      <c r="L994" t="s">
        <v>18</v>
      </c>
      <c r="M994" t="s">
        <v>52</v>
      </c>
      <c r="N994">
        <f>sales_data_1[[#This Row],[Unit_Price]]-sales_data_1[[#This Row],[Unit_Cost]]</f>
        <v>499.11999999999989</v>
      </c>
      <c r="O994">
        <f>sales_data_1[[#This Row],[Unit_Price]]*sales_data_1[[#This Row],[Quantity_Sold]]</f>
        <v>21768.6</v>
      </c>
      <c r="P994">
        <f>sales_data_1[[#This Row],[Unit - cost]]*sales_data_1[[#This Row],[Quantity_Sold]]</f>
        <v>1996.4799999999996</v>
      </c>
    </row>
    <row r="995" spans="1:16" x14ac:dyDescent="0.3">
      <c r="A995">
        <v>1067</v>
      </c>
      <c r="B995" s="1">
        <v>45176</v>
      </c>
      <c r="C995" t="s">
        <v>13</v>
      </c>
      <c r="D995" t="s">
        <v>14</v>
      </c>
      <c r="E995">
        <v>37</v>
      </c>
      <c r="F995" t="s">
        <v>28</v>
      </c>
      <c r="G995">
        <v>1754.32</v>
      </c>
      <c r="H995">
        <v>1856.3999999999999</v>
      </c>
      <c r="I995" t="s">
        <v>29</v>
      </c>
      <c r="J995">
        <v>0.21</v>
      </c>
      <c r="K995" t="s">
        <v>26</v>
      </c>
      <c r="L995" t="s">
        <v>21</v>
      </c>
      <c r="M995" t="s">
        <v>19</v>
      </c>
      <c r="N995">
        <f>sales_data_1[[#This Row],[Unit_Price]]-sales_data_1[[#This Row],[Unit_Cost]]</f>
        <v>102.07999999999993</v>
      </c>
      <c r="O995">
        <f>sales_data_1[[#This Row],[Unit_Price]]*sales_data_1[[#This Row],[Quantity_Sold]]</f>
        <v>68686.799999999988</v>
      </c>
      <c r="P995">
        <f>sales_data_1[[#This Row],[Unit - cost]]*sales_data_1[[#This Row],[Quantity_Sold]]</f>
        <v>3776.9599999999973</v>
      </c>
    </row>
    <row r="996" spans="1:16" x14ac:dyDescent="0.3">
      <c r="A996">
        <v>1018</v>
      </c>
      <c r="B996" s="1">
        <v>45043</v>
      </c>
      <c r="C996" t="s">
        <v>23</v>
      </c>
      <c r="D996" t="s">
        <v>24</v>
      </c>
      <c r="E996">
        <v>17</v>
      </c>
      <c r="F996" t="s">
        <v>28</v>
      </c>
      <c r="G996">
        <v>355.72</v>
      </c>
      <c r="H996">
        <v>438.27000000000004</v>
      </c>
      <c r="I996" t="s">
        <v>16</v>
      </c>
      <c r="J996">
        <v>0.06</v>
      </c>
      <c r="K996" t="s">
        <v>26</v>
      </c>
      <c r="L996" t="s">
        <v>18</v>
      </c>
      <c r="M996" t="s">
        <v>27</v>
      </c>
      <c r="N996">
        <f>sales_data_1[[#This Row],[Unit_Price]]-sales_data_1[[#This Row],[Unit_Cost]]</f>
        <v>82.550000000000011</v>
      </c>
      <c r="O996">
        <f>sales_data_1[[#This Row],[Unit_Price]]*sales_data_1[[#This Row],[Quantity_Sold]]</f>
        <v>7450.5900000000011</v>
      </c>
      <c r="P996">
        <f>sales_data_1[[#This Row],[Unit - cost]]*sales_data_1[[#This Row],[Quantity_Sold]]</f>
        <v>1403.3500000000001</v>
      </c>
    </row>
    <row r="997" spans="1:16" x14ac:dyDescent="0.3">
      <c r="A997">
        <v>1100</v>
      </c>
      <c r="B997" s="1">
        <v>45280</v>
      </c>
      <c r="C997" t="s">
        <v>23</v>
      </c>
      <c r="D997" t="s">
        <v>20</v>
      </c>
      <c r="E997">
        <v>39</v>
      </c>
      <c r="F997" t="s">
        <v>34</v>
      </c>
      <c r="G997">
        <v>3685.03</v>
      </c>
      <c r="H997">
        <v>3743.3900000000003</v>
      </c>
      <c r="I997" t="s">
        <v>29</v>
      </c>
      <c r="J997">
        <v>0.01</v>
      </c>
      <c r="K997" t="s">
        <v>26</v>
      </c>
      <c r="L997" t="s">
        <v>18</v>
      </c>
      <c r="M997" t="s">
        <v>46</v>
      </c>
      <c r="N997">
        <f>sales_data_1[[#This Row],[Unit_Price]]-sales_data_1[[#This Row],[Unit_Cost]]</f>
        <v>58.360000000000127</v>
      </c>
      <c r="O997">
        <f>sales_data_1[[#This Row],[Unit_Price]]*sales_data_1[[#This Row],[Quantity_Sold]]</f>
        <v>145992.21000000002</v>
      </c>
      <c r="P997">
        <f>sales_data_1[[#This Row],[Unit - cost]]*sales_data_1[[#This Row],[Quantity_Sold]]</f>
        <v>2276.040000000005</v>
      </c>
    </row>
    <row r="998" spans="1:16" x14ac:dyDescent="0.3">
      <c r="A998">
        <v>1086</v>
      </c>
      <c r="B998" s="1">
        <v>45154</v>
      </c>
      <c r="C998" t="s">
        <v>41</v>
      </c>
      <c r="D998" t="s">
        <v>33</v>
      </c>
      <c r="E998">
        <v>48</v>
      </c>
      <c r="F998" t="s">
        <v>25</v>
      </c>
      <c r="G998">
        <v>2632.58</v>
      </c>
      <c r="H998">
        <v>2926.68</v>
      </c>
      <c r="I998" t="s">
        <v>16</v>
      </c>
      <c r="J998">
        <v>0.14000000000000001</v>
      </c>
      <c r="K998" t="s">
        <v>17</v>
      </c>
      <c r="L998" t="s">
        <v>18</v>
      </c>
      <c r="M998" t="s">
        <v>51</v>
      </c>
      <c r="N998">
        <f>sales_data_1[[#This Row],[Unit_Price]]-sales_data_1[[#This Row],[Unit_Cost]]</f>
        <v>294.09999999999991</v>
      </c>
      <c r="O998">
        <f>sales_data_1[[#This Row],[Unit_Price]]*sales_data_1[[#This Row],[Quantity_Sold]]</f>
        <v>140480.63999999998</v>
      </c>
      <c r="P998">
        <f>sales_data_1[[#This Row],[Unit - cost]]*sales_data_1[[#This Row],[Quantity_Sold]]</f>
        <v>14116.799999999996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64F5F-AF75-41A9-B108-A830E032E3B6}">
  <dimension ref="A3:B10"/>
  <sheetViews>
    <sheetView workbookViewId="0">
      <selection activeCell="B10" sqref="B10"/>
    </sheetView>
  </sheetViews>
  <sheetFormatPr defaultRowHeight="14.4" x14ac:dyDescent="0.3"/>
  <cols>
    <col min="1" max="1" width="12.5546875" bestFit="1" customWidth="1"/>
    <col min="2" max="2" width="15.33203125" bestFit="1" customWidth="1"/>
    <col min="3" max="3" width="15.109375" bestFit="1" customWidth="1"/>
  </cols>
  <sheetData>
    <row r="3" spans="1:2" x14ac:dyDescent="0.3">
      <c r="A3" s="3" t="s">
        <v>53</v>
      </c>
      <c r="B3" t="s">
        <v>64</v>
      </c>
    </row>
    <row r="4" spans="1:2" x14ac:dyDescent="0.3">
      <c r="A4" s="4" t="s">
        <v>28</v>
      </c>
      <c r="B4" s="6">
        <v>19281196.969999995</v>
      </c>
    </row>
    <row r="5" spans="1:2" x14ac:dyDescent="0.3">
      <c r="A5" s="4" t="s">
        <v>34</v>
      </c>
      <c r="B5" s="6">
        <v>17529525.130000006</v>
      </c>
    </row>
    <row r="6" spans="1:2" x14ac:dyDescent="0.3">
      <c r="A6" s="4" t="s">
        <v>25</v>
      </c>
      <c r="B6" s="6">
        <v>15128658.589999998</v>
      </c>
    </row>
    <row r="7" spans="1:2" x14ac:dyDescent="0.3">
      <c r="A7" s="4" t="s">
        <v>15</v>
      </c>
      <c r="B7" s="6">
        <v>18330280.560000006</v>
      </c>
    </row>
    <row r="8" spans="1:2" x14ac:dyDescent="0.3">
      <c r="A8" s="4" t="s">
        <v>54</v>
      </c>
      <c r="B8" s="6">
        <v>70269661.25</v>
      </c>
    </row>
    <row r="9" spans="1:2" x14ac:dyDescent="0.3">
      <c r="B9" t="s">
        <v>62</v>
      </c>
    </row>
    <row r="10" spans="1:2" x14ac:dyDescent="0.3">
      <c r="B10">
        <f>GETPIVOTDATA("Revenue ",$A$3)</f>
        <v>70269661.25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4AD2E-4DE9-4FE2-82C3-BD8F4414216E}">
  <dimension ref="A1:X29"/>
  <sheetViews>
    <sheetView tabSelected="1" zoomScaleNormal="100" workbookViewId="0">
      <selection activeCell="K35" sqref="K35"/>
    </sheetView>
  </sheetViews>
  <sheetFormatPr defaultRowHeight="14.4" x14ac:dyDescent="0.3"/>
  <sheetData>
    <row r="1" spans="1:24" x14ac:dyDescent="0.3">
      <c r="A1" s="2"/>
      <c r="B1" s="2"/>
      <c r="C1" s="2"/>
      <c r="D1" s="2"/>
      <c r="E1" s="2"/>
      <c r="F1" s="2"/>
      <c r="G1" s="2"/>
      <c r="H1" s="2"/>
      <c r="I1" s="2"/>
      <c r="J1" s="2"/>
      <c r="K1" s="2"/>
      <c r="L1" s="2"/>
      <c r="M1" s="2"/>
      <c r="N1" s="2"/>
      <c r="O1" s="2"/>
      <c r="P1" s="2"/>
      <c r="Q1" s="2"/>
      <c r="R1" s="2"/>
      <c r="S1" s="2"/>
      <c r="T1" s="2"/>
      <c r="U1" s="2"/>
      <c r="V1" s="2"/>
      <c r="W1" s="2"/>
      <c r="X1" s="2"/>
    </row>
    <row r="2" spans="1:24" x14ac:dyDescent="0.3">
      <c r="A2" s="2"/>
      <c r="B2" s="2"/>
      <c r="C2" s="2"/>
      <c r="D2" s="2"/>
      <c r="E2" s="2"/>
      <c r="F2" s="2"/>
      <c r="G2" s="2"/>
      <c r="H2" s="2"/>
      <c r="I2" s="2"/>
      <c r="J2" s="2"/>
      <c r="K2" s="2"/>
      <c r="L2" s="2"/>
      <c r="M2" s="2"/>
      <c r="N2" s="2"/>
      <c r="O2" s="2"/>
      <c r="P2" s="2"/>
      <c r="Q2" s="2"/>
      <c r="R2" s="2"/>
      <c r="S2" s="2"/>
      <c r="T2" s="2"/>
      <c r="U2" s="2"/>
      <c r="V2" s="2"/>
      <c r="W2" s="2"/>
      <c r="X2" s="2"/>
    </row>
    <row r="3" spans="1:24" x14ac:dyDescent="0.3">
      <c r="A3" s="2"/>
      <c r="B3" s="2"/>
      <c r="C3" s="2"/>
      <c r="D3" s="2"/>
      <c r="E3" s="2"/>
      <c r="F3" s="2"/>
      <c r="G3" s="2"/>
      <c r="H3" s="2"/>
      <c r="I3" s="2"/>
      <c r="J3" s="2"/>
      <c r="K3" s="2"/>
      <c r="L3" s="2"/>
      <c r="M3" s="2"/>
      <c r="N3" s="2"/>
      <c r="O3" s="2"/>
      <c r="P3" s="2"/>
      <c r="Q3" s="2"/>
      <c r="R3" s="2"/>
      <c r="S3" s="2"/>
      <c r="T3" s="2"/>
      <c r="U3" s="2"/>
      <c r="V3" s="2"/>
      <c r="W3" s="2"/>
      <c r="X3" s="2"/>
    </row>
    <row r="4" spans="1:24" x14ac:dyDescent="0.3">
      <c r="A4" s="2"/>
      <c r="B4" s="2"/>
      <c r="C4" s="2"/>
      <c r="D4" s="2"/>
      <c r="E4" s="2"/>
      <c r="F4" s="2"/>
      <c r="G4" s="2"/>
      <c r="H4" s="2"/>
      <c r="I4" s="2"/>
      <c r="J4" s="2"/>
      <c r="K4" s="2"/>
      <c r="L4" s="2"/>
      <c r="M4" s="2"/>
      <c r="N4" s="2"/>
      <c r="O4" s="2"/>
      <c r="P4" s="2"/>
      <c r="Q4" s="2"/>
      <c r="R4" s="2"/>
      <c r="S4" s="2"/>
      <c r="T4" s="2"/>
      <c r="U4" s="2"/>
      <c r="V4" s="2"/>
      <c r="W4" s="2"/>
      <c r="X4" s="2"/>
    </row>
    <row r="5" spans="1:24" x14ac:dyDescent="0.3">
      <c r="A5" s="2"/>
      <c r="B5" s="2"/>
      <c r="C5" s="2"/>
      <c r="D5" s="2"/>
      <c r="E5" s="2"/>
      <c r="F5" s="2"/>
      <c r="G5" s="2"/>
      <c r="H5" s="2"/>
      <c r="I5" s="2"/>
      <c r="J5" s="2"/>
      <c r="K5" s="2"/>
      <c r="L5" s="2"/>
      <c r="M5" s="2"/>
      <c r="N5" s="2"/>
      <c r="O5" s="2"/>
      <c r="P5" s="2"/>
      <c r="Q5" s="2"/>
      <c r="R5" s="2"/>
      <c r="S5" s="2"/>
      <c r="T5" s="2"/>
      <c r="U5" s="2"/>
      <c r="V5" s="2"/>
      <c r="W5" s="2"/>
      <c r="X5" s="2"/>
    </row>
    <row r="6" spans="1:24" x14ac:dyDescent="0.3">
      <c r="A6" s="2"/>
      <c r="B6" s="2"/>
      <c r="C6" s="2"/>
      <c r="D6" s="2"/>
      <c r="E6" s="2"/>
      <c r="F6" s="2"/>
      <c r="G6" s="2"/>
      <c r="H6" s="2"/>
      <c r="I6" s="2"/>
      <c r="J6" s="2"/>
      <c r="K6" s="2"/>
      <c r="L6" s="2"/>
      <c r="M6" s="2"/>
      <c r="N6" s="2"/>
      <c r="O6" s="2"/>
      <c r="P6" s="2"/>
      <c r="Q6" s="2"/>
      <c r="R6" s="2"/>
      <c r="S6" s="2"/>
      <c r="T6" s="2"/>
      <c r="U6" s="2"/>
      <c r="V6" s="2"/>
      <c r="W6" s="2"/>
      <c r="X6" s="2"/>
    </row>
    <row r="7" spans="1:24" x14ac:dyDescent="0.3">
      <c r="A7" s="2"/>
      <c r="B7" s="2"/>
      <c r="C7" s="2"/>
      <c r="D7" s="2"/>
      <c r="E7" s="2"/>
      <c r="F7" s="2"/>
      <c r="G7" s="2"/>
      <c r="H7" s="2"/>
      <c r="I7" s="2"/>
      <c r="J7" s="2"/>
      <c r="K7" s="2"/>
      <c r="L7" s="2"/>
      <c r="M7" s="2"/>
      <c r="N7" s="2"/>
      <c r="O7" s="2"/>
      <c r="P7" s="2"/>
      <c r="Q7" s="2"/>
      <c r="R7" s="2"/>
      <c r="S7" s="2"/>
      <c r="T7" s="2"/>
      <c r="U7" s="2"/>
      <c r="V7" s="2"/>
      <c r="W7" s="2"/>
      <c r="X7" s="2"/>
    </row>
    <row r="8" spans="1:24" x14ac:dyDescent="0.3">
      <c r="A8" s="2"/>
      <c r="B8" s="2"/>
      <c r="C8" s="2"/>
      <c r="D8" s="2"/>
      <c r="E8" s="2"/>
      <c r="F8" s="2"/>
      <c r="G8" s="2"/>
      <c r="H8" s="2"/>
      <c r="I8" s="2"/>
      <c r="J8" s="2"/>
      <c r="K8" s="2"/>
      <c r="L8" s="2"/>
      <c r="M8" s="2"/>
      <c r="N8" s="2"/>
      <c r="O8" s="2"/>
      <c r="P8" s="2"/>
      <c r="Q8" s="2"/>
      <c r="R8" s="2"/>
      <c r="S8" s="2"/>
      <c r="T8" s="2"/>
      <c r="U8" s="2"/>
      <c r="V8" s="2"/>
      <c r="W8" s="2"/>
      <c r="X8" s="2"/>
    </row>
    <row r="9" spans="1:24" x14ac:dyDescent="0.3">
      <c r="A9" s="2"/>
      <c r="B9" s="2"/>
      <c r="C9" s="2"/>
      <c r="D9" s="2"/>
      <c r="E9" s="2"/>
      <c r="F9" s="2"/>
      <c r="G9" s="2"/>
      <c r="H9" s="2"/>
      <c r="I9" s="2"/>
      <c r="J9" s="2"/>
      <c r="K9" s="2"/>
      <c r="L9" s="2"/>
      <c r="M9" s="2"/>
      <c r="N9" s="2"/>
      <c r="O9" s="2"/>
      <c r="P9" s="2"/>
      <c r="Q9" s="2"/>
      <c r="R9" s="2"/>
      <c r="S9" s="2"/>
      <c r="T9" s="2"/>
      <c r="U9" s="2"/>
      <c r="V9" s="2"/>
      <c r="W9" s="2"/>
      <c r="X9" s="2"/>
    </row>
    <row r="10" spans="1:24" x14ac:dyDescent="0.3">
      <c r="A10" s="2"/>
      <c r="B10" s="2"/>
      <c r="C10" s="2"/>
      <c r="D10" s="2"/>
      <c r="E10" s="2"/>
      <c r="F10" s="2"/>
      <c r="G10" s="2"/>
      <c r="H10" s="2"/>
      <c r="I10" s="2"/>
      <c r="J10" s="2"/>
      <c r="K10" s="2"/>
      <c r="L10" s="2"/>
      <c r="M10" s="2"/>
      <c r="N10" s="2"/>
      <c r="O10" s="2"/>
      <c r="P10" s="2"/>
      <c r="Q10" s="2"/>
      <c r="R10" s="2"/>
      <c r="S10" s="2"/>
      <c r="T10" s="2"/>
      <c r="U10" s="2"/>
      <c r="V10" s="2"/>
      <c r="W10" s="2"/>
      <c r="X10" s="2"/>
    </row>
    <row r="11" spans="1:24" x14ac:dyDescent="0.3">
      <c r="A11" s="2"/>
      <c r="B11" s="2"/>
      <c r="C11" s="2"/>
      <c r="D11" s="2"/>
      <c r="E11" s="2"/>
      <c r="F11" s="2"/>
      <c r="G11" s="2"/>
      <c r="H11" s="2"/>
      <c r="I11" s="2"/>
      <c r="J11" s="2"/>
      <c r="K11" s="2"/>
      <c r="L11" s="2"/>
      <c r="M11" s="2"/>
      <c r="N11" s="2"/>
      <c r="O11" s="2"/>
      <c r="P11" s="2"/>
      <c r="Q11" s="2"/>
      <c r="R11" s="2"/>
      <c r="S11" s="2"/>
      <c r="T11" s="2"/>
      <c r="U11" s="2"/>
      <c r="V11" s="2"/>
      <c r="W11" s="2"/>
      <c r="X11" s="2"/>
    </row>
    <row r="12" spans="1:24" x14ac:dyDescent="0.3">
      <c r="A12" s="2"/>
      <c r="B12" s="2"/>
      <c r="C12" s="2"/>
      <c r="D12" s="2"/>
      <c r="E12" s="2"/>
      <c r="F12" s="2"/>
      <c r="G12" s="2"/>
      <c r="H12" s="2"/>
      <c r="I12" s="2"/>
      <c r="J12" s="2"/>
      <c r="K12" s="2"/>
      <c r="L12" s="2"/>
      <c r="M12" s="2"/>
      <c r="N12" s="2"/>
      <c r="O12" s="2"/>
      <c r="P12" s="2"/>
      <c r="Q12" s="2"/>
      <c r="R12" s="2"/>
      <c r="S12" s="2"/>
      <c r="T12" s="2"/>
      <c r="U12" s="2"/>
      <c r="V12" s="2"/>
      <c r="W12" s="2"/>
      <c r="X12" s="2"/>
    </row>
    <row r="13" spans="1:24" x14ac:dyDescent="0.3">
      <c r="A13" s="2"/>
      <c r="B13" s="2"/>
      <c r="C13" s="2"/>
      <c r="D13" s="2"/>
      <c r="E13" s="2"/>
      <c r="F13" s="2"/>
      <c r="G13" s="2"/>
      <c r="H13" s="2"/>
      <c r="I13" s="2"/>
      <c r="J13" s="2"/>
      <c r="K13" s="2"/>
      <c r="L13" s="2"/>
      <c r="M13" s="2"/>
      <c r="N13" s="2"/>
      <c r="O13" s="2"/>
      <c r="P13" s="2"/>
      <c r="Q13" s="2"/>
      <c r="R13" s="2"/>
      <c r="S13" s="2"/>
      <c r="T13" s="2"/>
      <c r="U13" s="2"/>
      <c r="V13" s="2"/>
      <c r="W13" s="2"/>
      <c r="X13" s="2"/>
    </row>
    <row r="14" spans="1:24" x14ac:dyDescent="0.3">
      <c r="A14" s="2"/>
      <c r="B14" s="2"/>
      <c r="C14" s="2"/>
      <c r="D14" s="2"/>
      <c r="E14" s="2"/>
      <c r="F14" s="2"/>
      <c r="G14" s="2"/>
      <c r="H14" s="2"/>
      <c r="I14" s="2"/>
      <c r="J14" s="2"/>
      <c r="K14" s="2"/>
      <c r="L14" s="2"/>
      <c r="M14" s="2"/>
      <c r="N14" s="2"/>
      <c r="O14" s="2"/>
      <c r="P14" s="2"/>
      <c r="Q14" s="2"/>
      <c r="R14" s="2"/>
      <c r="S14" s="2"/>
      <c r="T14" s="2"/>
      <c r="U14" s="2"/>
      <c r="V14" s="2"/>
      <c r="W14" s="2"/>
      <c r="X14" s="2"/>
    </row>
    <row r="15" spans="1:24" x14ac:dyDescent="0.3">
      <c r="A15" s="2"/>
      <c r="B15" s="2"/>
      <c r="C15" s="2"/>
      <c r="D15" s="2"/>
      <c r="E15" s="2"/>
      <c r="F15" s="2"/>
      <c r="G15" s="2"/>
      <c r="H15" s="2"/>
      <c r="I15" s="2"/>
      <c r="J15" s="2"/>
      <c r="K15" s="2"/>
      <c r="L15" s="2"/>
      <c r="M15" s="2"/>
      <c r="N15" s="2"/>
      <c r="O15" s="2"/>
      <c r="P15" s="2"/>
      <c r="Q15" s="2"/>
      <c r="R15" s="2"/>
      <c r="S15" s="2"/>
      <c r="T15" s="2"/>
      <c r="U15" s="2"/>
      <c r="V15" s="2"/>
      <c r="W15" s="2"/>
      <c r="X15" s="2"/>
    </row>
    <row r="16" spans="1:24" x14ac:dyDescent="0.3">
      <c r="A16" s="2"/>
      <c r="B16" s="2"/>
      <c r="C16" s="2"/>
      <c r="D16" s="2"/>
      <c r="E16" s="2"/>
      <c r="F16" s="2"/>
      <c r="G16" s="2"/>
      <c r="H16" s="2"/>
      <c r="I16" s="2"/>
      <c r="J16" s="2"/>
      <c r="K16" s="2"/>
      <c r="L16" s="2"/>
      <c r="M16" s="2"/>
      <c r="N16" s="2"/>
      <c r="O16" s="2"/>
      <c r="P16" s="2"/>
      <c r="Q16" s="2"/>
      <c r="R16" s="2"/>
      <c r="S16" s="2"/>
      <c r="T16" s="2"/>
      <c r="U16" s="2"/>
      <c r="V16" s="2"/>
      <c r="W16" s="2"/>
      <c r="X16" s="2"/>
    </row>
    <row r="17" spans="1:24" x14ac:dyDescent="0.3">
      <c r="A17" s="2"/>
      <c r="B17" s="2"/>
      <c r="C17" s="2"/>
      <c r="D17" s="2"/>
      <c r="E17" s="2"/>
      <c r="F17" s="2"/>
      <c r="G17" s="2"/>
      <c r="H17" s="2"/>
      <c r="I17" s="2"/>
      <c r="J17" s="2"/>
      <c r="K17" s="2"/>
      <c r="L17" s="2"/>
      <c r="M17" s="2"/>
      <c r="N17" s="2"/>
      <c r="O17" s="2"/>
      <c r="P17" s="2"/>
      <c r="Q17" s="2"/>
      <c r="R17" s="2"/>
      <c r="S17" s="2"/>
      <c r="T17" s="2"/>
      <c r="U17" s="2"/>
      <c r="V17" s="2"/>
      <c r="W17" s="2"/>
      <c r="X17" s="2"/>
    </row>
    <row r="18" spans="1:24" x14ac:dyDescent="0.3">
      <c r="A18" s="2"/>
      <c r="B18" s="2"/>
      <c r="C18" s="2"/>
      <c r="D18" s="2"/>
      <c r="E18" s="2"/>
      <c r="F18" s="2"/>
      <c r="G18" s="2"/>
      <c r="H18" s="2"/>
      <c r="I18" s="2"/>
      <c r="J18" s="2"/>
      <c r="K18" s="2"/>
      <c r="L18" s="2"/>
      <c r="M18" s="2"/>
      <c r="N18" s="2"/>
      <c r="O18" s="2"/>
      <c r="P18" s="2"/>
      <c r="Q18" s="2"/>
      <c r="R18" s="2"/>
      <c r="S18" s="2"/>
      <c r="T18" s="2"/>
      <c r="U18" s="2"/>
      <c r="V18" s="2"/>
      <c r="W18" s="2"/>
      <c r="X18" s="2"/>
    </row>
    <row r="19" spans="1:24" x14ac:dyDescent="0.3">
      <c r="A19" s="2"/>
      <c r="B19" s="2"/>
      <c r="C19" s="2"/>
      <c r="D19" s="2"/>
      <c r="E19" s="2"/>
      <c r="F19" s="2"/>
      <c r="G19" s="2"/>
      <c r="H19" s="2"/>
      <c r="I19" s="2"/>
      <c r="J19" s="2"/>
      <c r="K19" s="2"/>
      <c r="L19" s="2"/>
      <c r="M19" s="2"/>
      <c r="N19" s="2"/>
      <c r="O19" s="2"/>
      <c r="P19" s="2"/>
      <c r="Q19" s="2"/>
      <c r="R19" s="2"/>
      <c r="S19" s="2"/>
      <c r="T19" s="2"/>
      <c r="U19" s="2"/>
      <c r="V19" s="2"/>
      <c r="W19" s="2"/>
      <c r="X19" s="2"/>
    </row>
    <row r="20" spans="1:24" x14ac:dyDescent="0.3">
      <c r="A20" s="2"/>
      <c r="B20" s="2"/>
      <c r="C20" s="2"/>
      <c r="D20" s="2"/>
      <c r="E20" s="2"/>
      <c r="F20" s="2"/>
      <c r="G20" s="2"/>
      <c r="H20" s="2"/>
      <c r="I20" s="2"/>
      <c r="J20" s="2"/>
      <c r="K20" s="2"/>
      <c r="L20" s="2"/>
      <c r="M20" s="2"/>
      <c r="N20" s="2"/>
      <c r="O20" s="2"/>
      <c r="P20" s="2"/>
      <c r="Q20" s="2"/>
      <c r="R20" s="2"/>
      <c r="S20" s="2"/>
      <c r="T20" s="2"/>
      <c r="U20" s="2"/>
      <c r="V20" s="2"/>
      <c r="W20" s="2"/>
      <c r="X20" s="2"/>
    </row>
    <row r="21" spans="1:24" x14ac:dyDescent="0.3">
      <c r="A21" s="2"/>
      <c r="B21" s="2"/>
      <c r="C21" s="2"/>
      <c r="D21" s="2"/>
      <c r="E21" s="2"/>
      <c r="F21" s="2"/>
      <c r="G21" s="2"/>
      <c r="H21" s="2"/>
      <c r="I21" s="2"/>
      <c r="J21" s="2"/>
      <c r="K21" s="2"/>
      <c r="L21" s="2"/>
      <c r="M21" s="2"/>
      <c r="N21" s="2"/>
      <c r="O21" s="2"/>
      <c r="P21" s="2"/>
      <c r="Q21" s="2"/>
      <c r="R21" s="2"/>
      <c r="S21" s="2"/>
      <c r="T21" s="2"/>
      <c r="U21" s="2"/>
      <c r="V21" s="2"/>
      <c r="W21" s="2"/>
      <c r="X21" s="2"/>
    </row>
    <row r="22" spans="1:24" x14ac:dyDescent="0.3">
      <c r="A22" s="2"/>
      <c r="B22" s="2"/>
      <c r="C22" s="2"/>
      <c r="D22" s="2"/>
      <c r="E22" s="2"/>
      <c r="F22" s="2"/>
      <c r="G22" s="2"/>
      <c r="H22" s="2"/>
      <c r="I22" s="2"/>
      <c r="J22" s="2"/>
      <c r="K22" s="2"/>
      <c r="L22" s="2"/>
      <c r="M22" s="2"/>
      <c r="N22" s="2"/>
      <c r="O22" s="2"/>
      <c r="P22" s="2"/>
      <c r="Q22" s="2"/>
      <c r="R22" s="2"/>
      <c r="S22" s="2"/>
      <c r="T22" s="2"/>
      <c r="U22" s="2"/>
      <c r="V22" s="2"/>
      <c r="W22" s="2"/>
      <c r="X22" s="2"/>
    </row>
    <row r="23" spans="1:24" x14ac:dyDescent="0.3">
      <c r="A23" s="2"/>
      <c r="B23" s="2"/>
      <c r="C23" s="2"/>
      <c r="D23" s="2"/>
      <c r="E23" s="2"/>
      <c r="F23" s="2"/>
      <c r="G23" s="2"/>
      <c r="H23" s="2"/>
      <c r="I23" s="2"/>
      <c r="J23" s="2"/>
      <c r="K23" s="2"/>
      <c r="L23" s="2"/>
      <c r="M23" s="2"/>
      <c r="N23" s="2"/>
      <c r="O23" s="2"/>
      <c r="P23" s="2"/>
      <c r="Q23" s="2"/>
      <c r="R23" s="2"/>
      <c r="S23" s="2"/>
      <c r="T23" s="2"/>
      <c r="U23" s="2"/>
      <c r="V23" s="2"/>
      <c r="W23" s="2"/>
      <c r="X23" s="2"/>
    </row>
    <row r="24" spans="1:24" x14ac:dyDescent="0.3">
      <c r="A24" s="2"/>
      <c r="B24" s="2"/>
      <c r="C24" s="2"/>
      <c r="D24" s="2"/>
      <c r="E24" s="2"/>
      <c r="F24" s="2"/>
      <c r="G24" s="2"/>
      <c r="H24" s="2"/>
      <c r="I24" s="2"/>
      <c r="J24" s="2"/>
      <c r="K24" s="2"/>
      <c r="L24" s="2"/>
      <c r="M24" s="2"/>
      <c r="N24" s="2"/>
      <c r="O24" s="2"/>
      <c r="P24" s="2"/>
      <c r="Q24" s="2"/>
      <c r="R24" s="2"/>
      <c r="S24" s="2"/>
      <c r="T24" s="2"/>
      <c r="U24" s="2"/>
      <c r="V24" s="2"/>
      <c r="W24" s="2"/>
      <c r="X24" s="2"/>
    </row>
    <row r="25" spans="1:24" x14ac:dyDescent="0.3">
      <c r="A25" s="2"/>
      <c r="B25" s="2"/>
      <c r="C25" s="2"/>
      <c r="D25" s="2"/>
      <c r="E25" s="2"/>
      <c r="F25" s="2"/>
      <c r="G25" s="2"/>
      <c r="H25" s="2"/>
      <c r="I25" s="2"/>
      <c r="J25" s="2"/>
      <c r="K25" s="2"/>
      <c r="L25" s="2"/>
      <c r="M25" s="2"/>
      <c r="N25" s="2"/>
      <c r="O25" s="2"/>
      <c r="P25" s="2"/>
      <c r="Q25" s="2"/>
      <c r="R25" s="2"/>
      <c r="S25" s="2"/>
      <c r="T25" s="2"/>
      <c r="U25" s="2"/>
      <c r="V25" s="2"/>
      <c r="W25" s="2"/>
      <c r="X25" s="2"/>
    </row>
    <row r="26" spans="1:24" x14ac:dyDescent="0.3">
      <c r="A26" s="2"/>
      <c r="B26" s="2"/>
      <c r="C26" s="2"/>
      <c r="D26" s="2"/>
      <c r="E26" s="2"/>
      <c r="F26" s="2"/>
      <c r="G26" s="2"/>
      <c r="H26" s="2"/>
      <c r="I26" s="2"/>
      <c r="J26" s="2"/>
      <c r="K26" s="2"/>
      <c r="L26" s="2"/>
      <c r="M26" s="2"/>
      <c r="N26" s="2"/>
      <c r="O26" s="2"/>
      <c r="P26" s="2"/>
      <c r="Q26" s="2"/>
      <c r="R26" s="2"/>
      <c r="S26" s="2"/>
      <c r="T26" s="2"/>
      <c r="U26" s="2"/>
      <c r="V26" s="2"/>
      <c r="W26" s="2"/>
      <c r="X26" s="2"/>
    </row>
    <row r="27" spans="1:24" x14ac:dyDescent="0.3">
      <c r="A27" s="2"/>
      <c r="B27" s="2"/>
      <c r="C27" s="2"/>
      <c r="D27" s="2"/>
      <c r="E27" s="2"/>
      <c r="F27" s="2"/>
      <c r="G27" s="2"/>
      <c r="H27" s="2"/>
      <c r="I27" s="2"/>
      <c r="J27" s="2"/>
      <c r="K27" s="2"/>
      <c r="L27" s="2"/>
      <c r="M27" s="2"/>
      <c r="N27" s="2"/>
      <c r="O27" s="2"/>
      <c r="P27" s="2"/>
      <c r="Q27" s="2"/>
      <c r="R27" s="2"/>
      <c r="S27" s="2"/>
      <c r="T27" s="2"/>
      <c r="U27" s="2"/>
      <c r="V27" s="2"/>
      <c r="W27" s="2"/>
      <c r="X27" s="2"/>
    </row>
    <row r="28" spans="1:24" x14ac:dyDescent="0.3">
      <c r="A28" s="2"/>
      <c r="B28" s="2"/>
      <c r="C28" s="2"/>
      <c r="D28" s="2"/>
      <c r="E28" s="2"/>
      <c r="F28" s="2"/>
      <c r="G28" s="2"/>
      <c r="H28" s="2"/>
      <c r="I28" s="2"/>
      <c r="J28" s="2"/>
      <c r="K28" s="2"/>
      <c r="L28" s="2"/>
      <c r="M28" s="2"/>
      <c r="N28" s="2"/>
      <c r="O28" s="2"/>
      <c r="P28" s="2"/>
      <c r="Q28" s="2"/>
      <c r="R28" s="2"/>
      <c r="S28" s="2"/>
      <c r="T28" s="2"/>
      <c r="U28" s="2"/>
      <c r="V28" s="2"/>
      <c r="W28" s="2"/>
      <c r="X28" s="2"/>
    </row>
    <row r="29" spans="1:24" x14ac:dyDescent="0.3">
      <c r="A29" s="2"/>
      <c r="B29" s="2"/>
      <c r="C29" s="2"/>
      <c r="D29" s="2"/>
      <c r="E29" s="2"/>
      <c r="F29" s="2"/>
      <c r="G29" s="2"/>
      <c r="H29" s="2"/>
      <c r="I29" s="2"/>
      <c r="J29" s="2"/>
      <c r="K29" s="2"/>
      <c r="L29" s="2"/>
      <c r="M29" s="2"/>
      <c r="N29" s="2"/>
      <c r="O29" s="2"/>
      <c r="P29" s="2"/>
      <c r="Q29" s="2"/>
      <c r="R29" s="2"/>
      <c r="S29" s="2"/>
      <c r="T29" s="2"/>
      <c r="U29" s="2"/>
      <c r="V29" s="2"/>
      <c r="W29" s="2"/>
      <c r="X29"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388899-F632-40B1-B16E-4C0DF73ACE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Sales by months</vt:lpstr>
      <vt:lpstr>Sales by Region</vt:lpstr>
      <vt:lpstr>Sales by Sales rep</vt:lpstr>
      <vt:lpstr>Sales by prod cat</vt:lpstr>
      <vt:lpstr>channel performance</vt:lpstr>
      <vt:lpstr>payment method</vt:lpstr>
      <vt:lpstr>Total Quantity Sold</vt:lpstr>
      <vt:lpstr>Profit margin</vt:lpstr>
      <vt:lpstr>sales_data (1)</vt:lpstr>
      <vt:lpstr>Categorywise Sales</vt:lpstr>
      <vt:lpstr>Dashboard</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Patil</dc:creator>
  <cp:lastModifiedBy>Harshal Patil</cp:lastModifiedBy>
  <dcterms:created xsi:type="dcterms:W3CDTF">2026-01-13T07:35:14Z</dcterms:created>
  <dcterms:modified xsi:type="dcterms:W3CDTF">2026-01-28T11:07:12Z</dcterms:modified>
</cp:coreProperties>
</file>